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2.xml" ContentType="application/vnd.ms-excel.slicer+xml"/>
  <Override PartName="/xl/timelines/timeline1.xml" ContentType="application/vnd.ms-excel.timelin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MUHAMMED AFSAL\Desktop\ROUTE WORKBOOK\"/>
    </mc:Choice>
  </mc:AlternateContent>
  <xr:revisionPtr revIDLastSave="0" documentId="13_ncr:1_{1D06639B-994A-4EBC-BF0E-306A4121456E}" xr6:coauthVersionLast="47" xr6:coauthVersionMax="47" xr10:uidLastSave="{00000000-0000-0000-0000-000000000000}"/>
  <bookViews>
    <workbookView xWindow="-108" yWindow="-108" windowWidth="23256" windowHeight="12456" tabRatio="773" firstSheet="9" activeTab="19" xr2:uid="{9922AF45-ABD2-42F5-80AB-10FDCA711DFB}"/>
  </bookViews>
  <sheets>
    <sheet name="APPOIN OG" sheetId="15" r:id="rId1"/>
    <sheet name="BILLING OG" sheetId="16" r:id="rId2"/>
    <sheet name="TRETMEN OG" sheetId="18" r:id="rId3"/>
    <sheet name="PATIENT OG" sheetId="17" r:id="rId4"/>
    <sheet name="DOCTOR OG" sheetId="19" r:id="rId5"/>
    <sheet name="Sheet1" sheetId="20" r:id="rId6"/>
    <sheet name="appointments" sheetId="1" r:id="rId7"/>
    <sheet name="Sheet7" sheetId="26" r:id="rId8"/>
    <sheet name="Billing" sheetId="5" r:id="rId9"/>
    <sheet name="Sheet3" sheetId="22" r:id="rId10"/>
    <sheet name="Patient" sheetId="3" r:id="rId11"/>
    <sheet name="Sheet5" sheetId="24" r:id="rId12"/>
    <sheet name="Treatment" sheetId="2" r:id="rId13"/>
    <sheet name="Sheet6" sheetId="25" r:id="rId14"/>
    <sheet name="Doctor" sheetId="4" r:id="rId15"/>
    <sheet name="ANALYISIS" sheetId="6" r:id="rId16"/>
    <sheet name="CHANGE LOG" sheetId="29" r:id="rId17"/>
    <sheet name="PIVIOT" sheetId="27" r:id="rId18"/>
    <sheet name="CHARTS" sheetId="12" r:id="rId19"/>
    <sheet name="DASHBOARD" sheetId="14" r:id="rId20"/>
    <sheet name="Sheet4" sheetId="31" r:id="rId21"/>
  </sheets>
  <definedNames>
    <definedName name="_xlcn.WorksheetConnection_appointmentsA1H2011" hidden="1">appointments!$A$1:$H$201</definedName>
    <definedName name="_xlcn.WorksheetConnection_BillingA1K2011" hidden="1">Billing!$A$1:$K$201</definedName>
    <definedName name="_xlcn.WorksheetConnection_DoctorA1I111" hidden="1">Doctor!$A$1:$I$11</definedName>
    <definedName name="_xlcn.WorksheetConnection_PatientA1K511" hidden="1">Patient!$A$1:$K$51</definedName>
    <definedName name="_xlcn.WorksheetConnection_TreatmentA1F2011" hidden="1">Treatment!$A$1:$F$201</definedName>
    <definedName name="Slicer_Full_Name">#N/A</definedName>
    <definedName name="Slicer_Month">#N/A</definedName>
    <definedName name="Slicer_Reason_For_Visit">#N/A</definedName>
    <definedName name="Slicer_Treatment_Type">#N/A</definedName>
    <definedName name="Timeline_Bill_Date">#N/A</definedName>
  </definedNames>
  <calcPr calcId="191029"/>
  <pivotCaches>
    <pivotCache cacheId="152" r:id="rId22"/>
    <pivotCache cacheId="230" r:id="rId23"/>
    <pivotCache cacheId="233" r:id="rId24"/>
    <pivotCache cacheId="236" r:id="rId25"/>
    <pivotCache cacheId="239" r:id="rId26"/>
    <pivotCache cacheId="242" r:id="rId27"/>
    <pivotCache cacheId="245" r:id="rId28"/>
    <pivotCache cacheId="248" r:id="rId29"/>
    <pivotCache cacheId="251" r:id="rId30"/>
    <pivotCache cacheId="254" r:id="rId31"/>
  </pivotCaches>
  <extLst>
    <ext xmlns:x14="http://schemas.microsoft.com/office/spreadsheetml/2009/9/main" uri="{876F7934-8845-4945-9796-88D515C7AA90}">
      <x14:pivotCaches>
        <pivotCache cacheId="10" r:id="rId32"/>
      </x14:pivotCaches>
    </ext>
    <ext xmlns:x14="http://schemas.microsoft.com/office/spreadsheetml/2009/9/main" uri="{BBE1A952-AA13-448e-AADC-164F8A28A991}">
      <x14:slicerCaches>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37"/>
      </x15:timelineCachePivotCaches>
    </ext>
    <ext xmlns:x15="http://schemas.microsoft.com/office/spreadsheetml/2010/11/main" uri="{D0CA8CA8-9F24-4464-BF8E-62219DCF47F9}">
      <x15:timelineCacheRefs>
        <x15:timelineCacheRef r:id="rId38"/>
      </x15:timelineCacheRefs>
    </ext>
    <ext xmlns:x15="http://schemas.microsoft.com/office/spreadsheetml/2010/11/main" uri="{FCE2AD5D-F65C-4FA6-A056-5C36A1767C68}">
      <x15:dataModel>
        <x15:modelTables>
          <x15:modelTable id="Range 3" name="Range 3" connection="WorksheetConnection_Treatment!$A$1:$F$201"/>
          <x15:modelTable id="Range 2" name="Range 2" connection="WorksheetConnection_Patient!$A$1:$K$51"/>
          <x15:modelTable id="Range 4" name="Range 4" connection="WorksheetConnection_Doctor!$A$1:$I$11"/>
          <x15:modelTable id="Range 1" name="Range 1" connection="WorksheetConnection_Billing!$A$1:$K$201"/>
          <x15:modelTable id="Range" name="Range" connection="WorksheetConnection_appointments!$A$1:$H$201"/>
        </x15:modelTables>
        <x15:modelRelationships>
          <x15:modelRelationship fromTable="Range" fromColumn="Patient_Id" toTable="Range 2" toColumn="Patient_Id"/>
          <x15:modelRelationship fromTable="Range" fromColumn="Doctor_Id" toTable="Range 4" toColumn="Doctor_Id"/>
          <x15:modelRelationship fromTable="Range 1" fromColumn="Doctor id" toTable="Range 4" toColumn="Doctor_Id"/>
          <x15:modelRelationship fromTable="Range 1" fromColumn="Patient_Id" toTable="Range 2" toColumn="Patient_Id"/>
          <x15:modelRelationship fromTable="Range 3" fromColumn="Treatment_Id" toTable="Range 1" toColumn="Treatmen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D11" i="19"/>
  <c r="D10" i="19"/>
  <c r="D9" i="19"/>
  <c r="D8" i="19"/>
  <c r="D7" i="19"/>
  <c r="D6" i="19"/>
  <c r="D5" i="19"/>
  <c r="D4" i="19"/>
  <c r="D3" i="19"/>
  <c r="D2" i="19"/>
  <c r="E201" i="16"/>
  <c r="E200" i="16"/>
  <c r="E199" i="16"/>
  <c r="E198" i="16"/>
  <c r="E197" i="16"/>
  <c r="E196" i="16"/>
  <c r="E195" i="16"/>
  <c r="E194" i="16"/>
  <c r="E193" i="16"/>
  <c r="E192" i="16"/>
  <c r="E191" i="16"/>
  <c r="E190" i="16"/>
  <c r="E189" i="16"/>
  <c r="E188" i="16"/>
  <c r="E187" i="16"/>
  <c r="E186" i="16"/>
  <c r="E185" i="16"/>
  <c r="E184" i="16"/>
  <c r="E183" i="16"/>
  <c r="E182" i="16"/>
  <c r="E181" i="16"/>
  <c r="E180" i="16"/>
  <c r="E179" i="16"/>
  <c r="E178" i="16"/>
  <c r="E177" i="16"/>
  <c r="E176" i="16"/>
  <c r="E175" i="16"/>
  <c r="E174" i="16"/>
  <c r="E173" i="16"/>
  <c r="E172" i="16"/>
  <c r="E171" i="16"/>
  <c r="E170" i="16"/>
  <c r="E169" i="16"/>
  <c r="E168" i="16"/>
  <c r="E167" i="16"/>
  <c r="E166" i="16"/>
  <c r="E165" i="16"/>
  <c r="E164" i="16"/>
  <c r="E163" i="16"/>
  <c r="E162" i="16"/>
  <c r="E161" i="16"/>
  <c r="E160" i="16"/>
  <c r="E159" i="16"/>
  <c r="E158" i="16"/>
  <c r="E157" i="16"/>
  <c r="E156" i="16"/>
  <c r="E155" i="16"/>
  <c r="E154" i="16"/>
  <c r="E153" i="16"/>
  <c r="E152" i="16"/>
  <c r="E151" i="16"/>
  <c r="E150" i="16"/>
  <c r="E149" i="16"/>
  <c r="E148" i="16"/>
  <c r="E147" i="16"/>
  <c r="E146" i="16"/>
  <c r="E145" i="16"/>
  <c r="E144" i="16"/>
  <c r="E143" i="16"/>
  <c r="E142" i="16"/>
  <c r="E141" i="16"/>
  <c r="E140" i="16"/>
  <c r="E139" i="16"/>
  <c r="E138" i="16"/>
  <c r="E137" i="16"/>
  <c r="E136" i="16"/>
  <c r="E135" i="16"/>
  <c r="E134" i="16"/>
  <c r="E133" i="16"/>
  <c r="E132" i="16"/>
  <c r="E131" i="16"/>
  <c r="E130" i="16"/>
  <c r="E129" i="16"/>
  <c r="E128" i="16"/>
  <c r="E127" i="16"/>
  <c r="E126" i="16"/>
  <c r="E125" i="16"/>
  <c r="E124" i="16"/>
  <c r="E123" i="16"/>
  <c r="E122" i="16"/>
  <c r="E121" i="16"/>
  <c r="E120" i="16"/>
  <c r="E119" i="16"/>
  <c r="E118" i="16"/>
  <c r="E117" i="16"/>
  <c r="E116" i="16"/>
  <c r="E115" i="16"/>
  <c r="E114" i="16"/>
  <c r="E113" i="16"/>
  <c r="E112" i="16"/>
  <c r="E111" i="16"/>
  <c r="E110" i="16"/>
  <c r="E109" i="16"/>
  <c r="E108" i="16"/>
  <c r="E107" i="16"/>
  <c r="E106" i="16"/>
  <c r="E105" i="16"/>
  <c r="E104" i="16"/>
  <c r="E103" i="16"/>
  <c r="E102" i="16"/>
  <c r="E101" i="16"/>
  <c r="E100" i="16"/>
  <c r="E99" i="16"/>
  <c r="E98" i="16"/>
  <c r="E97" i="16"/>
  <c r="E96" i="16"/>
  <c r="E95" i="16"/>
  <c r="E94" i="16"/>
  <c r="E93" i="16"/>
  <c r="E92" i="16"/>
  <c r="E91" i="16"/>
  <c r="E90" i="16"/>
  <c r="E89" i="16"/>
  <c r="E88" i="16"/>
  <c r="E87" i="16"/>
  <c r="E86" i="16"/>
  <c r="E85" i="16"/>
  <c r="E84" i="16"/>
  <c r="E83" i="16"/>
  <c r="E82" i="16"/>
  <c r="E81" i="16"/>
  <c r="E80" i="16"/>
  <c r="E79" i="16"/>
  <c r="E78" i="16"/>
  <c r="E77" i="16"/>
  <c r="E76" i="16"/>
  <c r="E75" i="16"/>
  <c r="E74" i="16"/>
  <c r="E73" i="16"/>
  <c r="E72" i="16"/>
  <c r="E71" i="16"/>
  <c r="E70" i="16"/>
  <c r="E69" i="16"/>
  <c r="E68" i="16"/>
  <c r="E67" i="16"/>
  <c r="E66" i="16"/>
  <c r="E65" i="16"/>
  <c r="E64" i="16"/>
  <c r="E63" i="16"/>
  <c r="E62" i="16"/>
  <c r="E61" i="16"/>
  <c r="E60" i="16"/>
  <c r="E59" i="16"/>
  <c r="E58" i="16"/>
  <c r="E57" i="16"/>
  <c r="E56" i="16"/>
  <c r="E55" i="16"/>
  <c r="E54" i="16"/>
  <c r="E53" i="16"/>
  <c r="E52" i="16"/>
  <c r="E51" i="16"/>
  <c r="E50" i="16"/>
  <c r="E49" i="16"/>
  <c r="E48" i="16"/>
  <c r="E47" i="16"/>
  <c r="E46" i="16"/>
  <c r="E45" i="16"/>
  <c r="E44" i="16"/>
  <c r="E43" i="16"/>
  <c r="E42" i="16"/>
  <c r="E41" i="16"/>
  <c r="E40" i="16"/>
  <c r="E39" i="16"/>
  <c r="E38"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3" i="16"/>
  <c r="E2" i="16"/>
  <c r="J18" i="2"/>
  <c r="H10" i="2"/>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 i="5"/>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 i="1"/>
  <c r="D3" i="4"/>
  <c r="D4" i="4"/>
  <c r="D5" i="4"/>
  <c r="D6" i="4"/>
  <c r="D7" i="4"/>
  <c r="D8" i="4"/>
  <c r="D9" i="4"/>
  <c r="D10" i="4"/>
  <c r="D11" i="4"/>
  <c r="D2" i="4"/>
  <c r="P43" i="27"/>
  <c r="P46" i="27"/>
  <c r="O15" i="27"/>
  <c r="N7" i="5" l="1"/>
  <c r="N6" i="5"/>
  <c r="N5" i="5"/>
  <c r="N9" i="5"/>
  <c r="N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57A485-574F-4636-9F4E-9FA29549774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CEBB7704-4357-4494-9739-C3860984C970}" name="WorksheetConnection_appointments!$A$1:$H$201" type="102" refreshedVersion="8" minRefreshableVersion="5">
    <extLst>
      <ext xmlns:x15="http://schemas.microsoft.com/office/spreadsheetml/2010/11/main" uri="{DE250136-89BD-433C-8126-D09CA5730AF9}">
        <x15:connection id="Range" autoDelete="1">
          <x15:rangePr sourceName="_xlcn.WorksheetConnection_appointmentsA1H2011"/>
        </x15:connection>
      </ext>
    </extLst>
  </connection>
  <connection id="3" xr16:uid="{198848DB-96A1-486C-B38C-370F2CE1D95C}" name="WorksheetConnection_Billing!$A$1:$K$201" type="102" refreshedVersion="8" minRefreshableVersion="5">
    <extLst>
      <ext xmlns:x15="http://schemas.microsoft.com/office/spreadsheetml/2010/11/main" uri="{DE250136-89BD-433C-8126-D09CA5730AF9}">
        <x15:connection id="Range 1" autoDelete="1">
          <x15:rangePr sourceName="_xlcn.WorksheetConnection_BillingA1K2011"/>
        </x15:connection>
      </ext>
    </extLst>
  </connection>
  <connection id="4" xr16:uid="{9709455B-3518-471A-B870-E19DC3F6583E}" name="WorksheetConnection_Doctor!$A$1:$I$11" type="102" refreshedVersion="8" minRefreshableVersion="5">
    <extLst>
      <ext xmlns:x15="http://schemas.microsoft.com/office/spreadsheetml/2010/11/main" uri="{DE250136-89BD-433C-8126-D09CA5730AF9}">
        <x15:connection id="Range 4" autoDelete="1">
          <x15:rangePr sourceName="_xlcn.WorksheetConnection_DoctorA1I111"/>
        </x15:connection>
      </ext>
    </extLst>
  </connection>
  <connection id="5" xr16:uid="{A587F24C-E1F8-475B-A1E0-D68A87FC1E47}" name="WorksheetConnection_Patient!$A$1:$K$51" type="102" refreshedVersion="8" minRefreshableVersion="5">
    <extLst>
      <ext xmlns:x15="http://schemas.microsoft.com/office/spreadsheetml/2010/11/main" uri="{DE250136-89BD-433C-8126-D09CA5730AF9}">
        <x15:connection id="Range 2" autoDelete="1">
          <x15:rangePr sourceName="_xlcn.WorksheetConnection_PatientA1K511"/>
        </x15:connection>
      </ext>
    </extLst>
  </connection>
  <connection id="6" xr16:uid="{DDA3400D-2E1A-4777-A1BB-ECC8E2E22A49}" name="WorksheetConnection_Treatment!$A$1:$F$201" type="102" refreshedVersion="8" minRefreshableVersion="5">
    <extLst>
      <ext xmlns:x15="http://schemas.microsoft.com/office/spreadsheetml/2010/11/main" uri="{DE250136-89BD-433C-8126-D09CA5730AF9}">
        <x15:connection id="Range 3" autoDelete="1">
          <x15:rangePr sourceName="_xlcn.WorksheetConnection_TreatmentA1F2011"/>
        </x15:connection>
      </ext>
    </extLst>
  </connection>
</connections>
</file>

<file path=xl/sharedStrings.xml><?xml version="1.0" encoding="utf-8"?>
<sst xmlns="http://schemas.openxmlformats.org/spreadsheetml/2006/main" count="6705" uniqueCount="906">
  <si>
    <t>A001</t>
  </si>
  <si>
    <t>P034</t>
  </si>
  <si>
    <t>D009</t>
  </si>
  <si>
    <t>Therapy</t>
  </si>
  <si>
    <t>Scheduled</t>
  </si>
  <si>
    <t>A002</t>
  </si>
  <si>
    <t>P032</t>
  </si>
  <si>
    <t>D004</t>
  </si>
  <si>
    <t>No-show</t>
  </si>
  <si>
    <t>A003</t>
  </si>
  <si>
    <t>P048</t>
  </si>
  <si>
    <t>Consultation</t>
  </si>
  <si>
    <t>Cancelled</t>
  </si>
  <si>
    <t>A004</t>
  </si>
  <si>
    <t>P025</t>
  </si>
  <si>
    <t>D006</t>
  </si>
  <si>
    <t>A005</t>
  </si>
  <si>
    <t>P040</t>
  </si>
  <si>
    <t>D003</t>
  </si>
  <si>
    <t>Emergency</t>
  </si>
  <si>
    <t>A006</t>
  </si>
  <si>
    <t>P045</t>
  </si>
  <si>
    <t>Checkup</t>
  </si>
  <si>
    <t>A007</t>
  </si>
  <si>
    <t>P001</t>
  </si>
  <si>
    <t>D007</t>
  </si>
  <si>
    <t>A008</t>
  </si>
  <si>
    <t>P016</t>
  </si>
  <si>
    <t>D010</t>
  </si>
  <si>
    <t>A009</t>
  </si>
  <si>
    <t>P039</t>
  </si>
  <si>
    <t>Follow-up</t>
  </si>
  <si>
    <t>A010</t>
  </si>
  <si>
    <t>P005</t>
  </si>
  <si>
    <t>Completed</t>
  </si>
  <si>
    <t>A011</t>
  </si>
  <si>
    <t>P022</t>
  </si>
  <si>
    <t>A012</t>
  </si>
  <si>
    <t>P029</t>
  </si>
  <si>
    <t>A013</t>
  </si>
  <si>
    <t>P003</t>
  </si>
  <si>
    <t>D002</t>
  </si>
  <si>
    <t>A014</t>
  </si>
  <si>
    <t>P012</t>
  </si>
  <si>
    <t>A015</t>
  </si>
  <si>
    <t>P026</t>
  </si>
  <si>
    <t>A016</t>
  </si>
  <si>
    <t>D008</t>
  </si>
  <si>
    <t>A017</t>
  </si>
  <si>
    <t>P037</t>
  </si>
  <si>
    <t>A018</t>
  </si>
  <si>
    <t>A019</t>
  </si>
  <si>
    <t>D001</t>
  </si>
  <si>
    <t>A020</t>
  </si>
  <si>
    <t>P014</t>
  </si>
  <si>
    <t>A021</t>
  </si>
  <si>
    <t>P028</t>
  </si>
  <si>
    <t>A022</t>
  </si>
  <si>
    <t>A023</t>
  </si>
  <si>
    <t>P047</t>
  </si>
  <si>
    <t>A024</t>
  </si>
  <si>
    <t>P049</t>
  </si>
  <si>
    <t>A025</t>
  </si>
  <si>
    <t>P030</t>
  </si>
  <si>
    <t>A026</t>
  </si>
  <si>
    <t>P046</t>
  </si>
  <si>
    <t>A027</t>
  </si>
  <si>
    <t>D005</t>
  </si>
  <si>
    <t>A028</t>
  </si>
  <si>
    <t>A029</t>
  </si>
  <si>
    <t>A030</t>
  </si>
  <si>
    <t>A031</t>
  </si>
  <si>
    <t>A032</t>
  </si>
  <si>
    <t>A033</t>
  </si>
  <si>
    <t>P021</t>
  </si>
  <si>
    <t>A034</t>
  </si>
  <si>
    <t>A035</t>
  </si>
  <si>
    <t>P036</t>
  </si>
  <si>
    <t>A036</t>
  </si>
  <si>
    <t>P033</t>
  </si>
  <si>
    <t>A037</t>
  </si>
  <si>
    <t>A038</t>
  </si>
  <si>
    <t>A039</t>
  </si>
  <si>
    <t>P023</t>
  </si>
  <si>
    <t>A040</t>
  </si>
  <si>
    <t>P010</t>
  </si>
  <si>
    <t>A041</t>
  </si>
  <si>
    <t>A042</t>
  </si>
  <si>
    <t>A043</t>
  </si>
  <si>
    <t>A044</t>
  </si>
  <si>
    <t>P031</t>
  </si>
  <si>
    <t>A045</t>
  </si>
  <si>
    <t>A046</t>
  </si>
  <si>
    <t>P019</t>
  </si>
  <si>
    <t>A047</t>
  </si>
  <si>
    <t>A048</t>
  </si>
  <si>
    <t>A049</t>
  </si>
  <si>
    <t>A050</t>
  </si>
  <si>
    <t>A051</t>
  </si>
  <si>
    <t>P004</t>
  </si>
  <si>
    <t>A052</t>
  </si>
  <si>
    <t>A053</t>
  </si>
  <si>
    <t>P024</t>
  </si>
  <si>
    <t>A054</t>
  </si>
  <si>
    <t>A055</t>
  </si>
  <si>
    <t>P002</t>
  </si>
  <si>
    <t>A056</t>
  </si>
  <si>
    <t>A057</t>
  </si>
  <si>
    <t>A058</t>
  </si>
  <si>
    <t>A059</t>
  </si>
  <si>
    <t>P027</t>
  </si>
  <si>
    <t>A060</t>
  </si>
  <si>
    <t>P020</t>
  </si>
  <si>
    <t>A061</t>
  </si>
  <si>
    <t>A062</t>
  </si>
  <si>
    <t>A063</t>
  </si>
  <si>
    <t>P050</t>
  </si>
  <si>
    <t>A064</t>
  </si>
  <si>
    <t>P035</t>
  </si>
  <si>
    <t>A065</t>
  </si>
  <si>
    <t>A066</t>
  </si>
  <si>
    <t>A067</t>
  </si>
  <si>
    <t>P043</t>
  </si>
  <si>
    <t>A068</t>
  </si>
  <si>
    <t>A069</t>
  </si>
  <si>
    <t>A070</t>
  </si>
  <si>
    <t>A071</t>
  </si>
  <si>
    <t>A072</t>
  </si>
  <si>
    <t>A073</t>
  </si>
  <si>
    <t>A074</t>
  </si>
  <si>
    <t>A075</t>
  </si>
  <si>
    <t>A076</t>
  </si>
  <si>
    <t>P044</t>
  </si>
  <si>
    <t>A077</t>
  </si>
  <si>
    <t>A078</t>
  </si>
  <si>
    <t>P013</t>
  </si>
  <si>
    <t>A079</t>
  </si>
  <si>
    <t>A080</t>
  </si>
  <si>
    <t>A081</t>
  </si>
  <si>
    <t>A082</t>
  </si>
  <si>
    <t>A083</t>
  </si>
  <si>
    <t>A084</t>
  </si>
  <si>
    <t>A085</t>
  </si>
  <si>
    <t>A086</t>
  </si>
  <si>
    <t>P017</t>
  </si>
  <si>
    <t>A087</t>
  </si>
  <si>
    <t>A088</t>
  </si>
  <si>
    <t>P008</t>
  </si>
  <si>
    <t>A089</t>
  </si>
  <si>
    <t>A090</t>
  </si>
  <si>
    <t>A091</t>
  </si>
  <si>
    <t>A092</t>
  </si>
  <si>
    <t>A093</t>
  </si>
  <si>
    <t>A094</t>
  </si>
  <si>
    <t>P041</t>
  </si>
  <si>
    <t>A095</t>
  </si>
  <si>
    <t>P007</t>
  </si>
  <si>
    <t>A096</t>
  </si>
  <si>
    <t>A097</t>
  </si>
  <si>
    <t>A098</t>
  </si>
  <si>
    <t>A099</t>
  </si>
  <si>
    <t>P011</t>
  </si>
  <si>
    <t>A100</t>
  </si>
  <si>
    <t>A101</t>
  </si>
  <si>
    <t>A102</t>
  </si>
  <si>
    <t>A103</t>
  </si>
  <si>
    <t>A104</t>
  </si>
  <si>
    <t>A105</t>
  </si>
  <si>
    <t>A106</t>
  </si>
  <si>
    <t>A107</t>
  </si>
  <si>
    <t>P009</t>
  </si>
  <si>
    <t>A108</t>
  </si>
  <si>
    <t>A109</t>
  </si>
  <si>
    <t>A110</t>
  </si>
  <si>
    <t>A111</t>
  </si>
  <si>
    <t>A112</t>
  </si>
  <si>
    <t>A113</t>
  </si>
  <si>
    <t>A114</t>
  </si>
  <si>
    <t>P018</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</si>
  <si>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</si>
  <si>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</si>
  <si>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</si>
  <si>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</si>
  <si>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</si>
  <si>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</si>
  <si>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</si>
  <si>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</si>
  <si>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</si>
  <si>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</si>
  <si>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</si>
  <si>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</si>
  <si>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</si>
  <si>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</si>
  <si>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</si>
  <si>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</si>
  <si>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</si>
  <si>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</si>
  <si>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</si>
  <si>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</si>
  <si>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</si>
  <si>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</si>
  <si>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</si>
  <si>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</si>
  <si>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</si>
  <si>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</si>
  <si>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</si>
  <si>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</si>
  <si>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</si>
  <si>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</si>
  <si>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</si>
  <si>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</si>
  <si>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</si>
  <si>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</si>
  <si>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</si>
  <si>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</si>
  <si>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</si>
  <si>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</si>
  <si>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</si>
  <si>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</si>
  <si>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</si>
  <si>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</si>
  <si>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</si>
  <si>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</si>
  <si>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</si>
  <si>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</si>
  <si>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</si>
  <si>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</si>
  <si>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P042</t>
  </si>
  <si>
    <t>A163</t>
  </si>
  <si>
    <t>A164</t>
  </si>
  <si>
    <t>A165</t>
  </si>
  <si>
    <t>A166</t>
  </si>
  <si>
    <t>A167</t>
  </si>
  <si>
    <t>A168</t>
  </si>
  <si>
    <t>A169</t>
  </si>
  <si>
    <t>A170</t>
  </si>
  <si>
    <t>A171</t>
  </si>
  <si>
    <t>A172</t>
  </si>
  <si>
    <t>A173</t>
  </si>
  <si>
    <t>A174</t>
  </si>
  <si>
    <t>A175</t>
  </si>
  <si>
    <t>A176</t>
  </si>
  <si>
    <t>A177</t>
  </si>
  <si>
    <t>A178</t>
  </si>
  <si>
    <t>A179</t>
  </si>
  <si>
    <t>P038</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</si>
  <si>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</si>
  <si>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</si>
  <si>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</si>
  <si>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</si>
  <si>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</si>
  <si>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</si>
  <si>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</si>
  <si>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</si>
  <si>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</si>
  <si>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</si>
  <si>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</si>
  <si>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</si>
  <si>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</si>
  <si>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</si>
  <si>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</si>
  <si>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</si>
  <si>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</si>
  <si>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</si>
  <si>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</si>
  <si>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</si>
  <si>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</si>
  <si>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T001</t>
  </si>
  <si>
    <t>Chemotherapy</t>
  </si>
  <si>
    <t>Basic screening</t>
  </si>
  <si>
    <t>T002</t>
  </si>
  <si>
    <t>MRI</t>
  </si>
  <si>
    <t>Advanced protocol</t>
  </si>
  <si>
    <t>T003</t>
  </si>
  <si>
    <t>Standard procedure</t>
  </si>
  <si>
    <t>T004</t>
  </si>
  <si>
    <t>T005</t>
  </si>
  <si>
    <t>ECG</t>
  </si>
  <si>
    <t>T006</t>
  </si>
  <si>
    <t>T007</t>
  </si>
  <si>
    <t>T008</t>
  </si>
  <si>
    <t>Physiotherapy</t>
  </si>
  <si>
    <t>T009</t>
  </si>
  <si>
    <t>T010</t>
  </si>
  <si>
    <t>T011</t>
  </si>
  <si>
    <t>T012</t>
  </si>
  <si>
    <t>T013</t>
  </si>
  <si>
    <t>T014</t>
  </si>
  <si>
    <t>T015</t>
  </si>
  <si>
    <t>T016</t>
  </si>
  <si>
    <t>T017</t>
  </si>
  <si>
    <t>T018</t>
  </si>
  <si>
    <t>T019</t>
  </si>
  <si>
    <t>X-Ray</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</si>
  <si>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</si>
  <si>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</si>
  <si>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</si>
  <si>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</si>
  <si>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</si>
  <si>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</si>
  <si>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</si>
  <si>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</si>
  <si>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</si>
  <si>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</si>
  <si>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</si>
  <si>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</si>
  <si>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</si>
  <si>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</si>
  <si>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</si>
  <si>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</si>
  <si>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</si>
  <si>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</si>
  <si>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</si>
  <si>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</si>
  <si>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</si>
  <si>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</si>
  <si>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</si>
  <si>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</si>
  <si>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</si>
  <si>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</si>
  <si>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</si>
  <si>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</si>
  <si>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</si>
  <si>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</si>
  <si>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</si>
  <si>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</si>
  <si>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</si>
  <si>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</si>
  <si>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</si>
  <si>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</si>
  <si>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</si>
  <si>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</si>
  <si>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</si>
  <si>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</si>
  <si>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</si>
  <si>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</si>
  <si>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</si>
  <si>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</si>
  <si>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</si>
  <si>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</si>
  <si>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</si>
  <si>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</si>
  <si>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</si>
  <si>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</si>
  <si>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</si>
  <si>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</si>
  <si>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</si>
  <si>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</si>
  <si>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</si>
  <si>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</si>
  <si>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</si>
  <si>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</si>
  <si>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</si>
  <si>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</si>
  <si>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</si>
  <si>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</si>
  <si>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</si>
  <si>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</si>
  <si>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</si>
  <si>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</si>
  <si>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</si>
  <si>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</si>
  <si>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</si>
  <si>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</si>
  <si>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</si>
  <si>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</si>
  <si>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</si>
  <si>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</si>
  <si>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</si>
  <si>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</si>
  <si>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</si>
  <si>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</si>
  <si>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</si>
  <si>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</si>
  <si>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</si>
  <si>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</si>
  <si>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</si>
  <si>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</si>
  <si>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</si>
  <si>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</si>
  <si>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</si>
  <si>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</si>
  <si>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</si>
  <si>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</si>
  <si>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</si>
  <si>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</si>
  <si>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</si>
  <si>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</si>
  <si>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</si>
  <si>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</si>
  <si>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</si>
  <si>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</si>
  <si>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</si>
  <si>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</si>
  <si>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</si>
  <si>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</si>
  <si>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</si>
  <si>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</si>
  <si>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</si>
  <si>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</si>
  <si>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</si>
  <si>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</si>
  <si>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</si>
  <si>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</si>
  <si>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</si>
  <si>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</si>
  <si>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</si>
  <si>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</si>
  <si>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</si>
  <si>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</si>
  <si>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</si>
  <si>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</si>
  <si>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</si>
  <si>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</si>
  <si>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</si>
  <si>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</si>
  <si>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</si>
  <si>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</si>
  <si>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</si>
  <si>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</si>
  <si>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</si>
  <si>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</si>
  <si>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</si>
  <si>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</si>
  <si>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</si>
  <si>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</si>
  <si>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</si>
  <si>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</si>
  <si>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</si>
  <si>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</si>
  <si>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</si>
  <si>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</si>
  <si>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</si>
  <si>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</si>
  <si>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</si>
  <si>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</si>
  <si>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</si>
  <si>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</si>
  <si>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</si>
  <si>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</si>
  <si>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</si>
  <si>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</si>
  <si>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</si>
  <si>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</si>
  <si>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</si>
  <si>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</si>
  <si>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</si>
  <si>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</si>
  <si>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</si>
  <si>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</si>
  <si>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</si>
  <si>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</si>
  <si>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</si>
  <si>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</si>
  <si>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</si>
  <si>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</si>
  <si>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</si>
  <si>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</si>
  <si>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</si>
  <si>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</si>
  <si>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</si>
  <si>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</si>
  <si>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</si>
  <si>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</si>
  <si>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</si>
  <si>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</si>
  <si>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</si>
  <si>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</si>
  <si>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</si>
  <si>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</si>
  <si>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</si>
  <si>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</si>
  <si>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</si>
  <si>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</si>
  <si>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</si>
  <si>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David</t>
  </si>
  <si>
    <t>Williams</t>
  </si>
  <si>
    <t>F</t>
  </si>
  <si>
    <t>789 Pine Rd</t>
  </si>
  <si>
    <t>WellnessCorp</t>
  </si>
  <si>
    <t>INS840674</t>
  </si>
  <si>
    <t>david.williams@mail.com</t>
  </si>
  <si>
    <t>Emily</t>
  </si>
  <si>
    <t>Smith</t>
  </si>
  <si>
    <t>321 Maple Dr</t>
  </si>
  <si>
    <t>PulseSecure</t>
  </si>
  <si>
    <t>INS354079</t>
  </si>
  <si>
    <t>emily.smith@mail.com</t>
  </si>
  <si>
    <t>Laura</t>
  </si>
  <si>
    <t>Jones</t>
  </si>
  <si>
    <t>M</t>
  </si>
  <si>
    <t>INS650929</t>
  </si>
  <si>
    <t>laura.jones@mail.com</t>
  </si>
  <si>
    <t>Michael</t>
  </si>
  <si>
    <t>Johnson</t>
  </si>
  <si>
    <t>123 Elm St</t>
  </si>
  <si>
    <t>HealthIndia</t>
  </si>
  <si>
    <t>INS789944</t>
  </si>
  <si>
    <t>michael.johnson@mail.com</t>
  </si>
  <si>
    <t>Wilson</t>
  </si>
  <si>
    <t>MedCare Plus</t>
  </si>
  <si>
    <t>INS788105</t>
  </si>
  <si>
    <t>david.wilson@mail.com</t>
  </si>
  <si>
    <t>P006</t>
  </si>
  <si>
    <t>Linda</t>
  </si>
  <si>
    <t>INS613758</t>
  </si>
  <si>
    <t>linda.jones@mail.com</t>
  </si>
  <si>
    <t>Alex</t>
  </si>
  <si>
    <t>INS465890</t>
  </si>
  <si>
    <t>alex.johnson@mail.com</t>
  </si>
  <si>
    <t>Davis</t>
  </si>
  <si>
    <t>456 Oak Ave</t>
  </si>
  <si>
    <t>INS545101</t>
  </si>
  <si>
    <t>david.davis@mail.com</t>
  </si>
  <si>
    <t>INS136631</t>
  </si>
  <si>
    <t>laura.davis@mail.com</t>
  </si>
  <si>
    <t>Taylor</t>
  </si>
  <si>
    <t>INS866577</t>
  </si>
  <si>
    <t>michael.taylor@mail.com</t>
  </si>
  <si>
    <t>INS172991</t>
  </si>
  <si>
    <t>emily.jones@mail.com</t>
  </si>
  <si>
    <t>INS104014</t>
  </si>
  <si>
    <t>INS373237</t>
  </si>
  <si>
    <t>laura.johnson@mail.com</t>
  </si>
  <si>
    <t>INS118070</t>
  </si>
  <si>
    <t>alex.taylor@mail.com</t>
  </si>
  <si>
    <t>P015</t>
  </si>
  <si>
    <t>Sarah</t>
  </si>
  <si>
    <t>INS922209</t>
  </si>
  <si>
    <t>sarah.johnson@mail.com</t>
  </si>
  <si>
    <t>INS156958</t>
  </si>
  <si>
    <t>Jane</t>
  </si>
  <si>
    <t>INS182074</t>
  </si>
  <si>
    <t>jane.jones@mail.com</t>
  </si>
  <si>
    <t>INS635017</t>
  </si>
  <si>
    <t>laura.wilson@mail.com</t>
  </si>
  <si>
    <t>Miller</t>
  </si>
  <si>
    <t>INS855073</t>
  </si>
  <si>
    <t>sarah.miller@mail.com</t>
  </si>
  <si>
    <t>Moore</t>
  </si>
  <si>
    <t>INS276089</t>
  </si>
  <si>
    <t>jane.moore@mail.com</t>
  </si>
  <si>
    <t>INS297392</t>
  </si>
  <si>
    <t>michael.wilson@mail.com</t>
  </si>
  <si>
    <t>John</t>
  </si>
  <si>
    <t>Brown</t>
  </si>
  <si>
    <t>INS258823</t>
  </si>
  <si>
    <t>john.brown@mail.com</t>
  </si>
  <si>
    <t>INS730152</t>
  </si>
  <si>
    <t>linda.johnson@mail.com</t>
  </si>
  <si>
    <t>INS493002</t>
  </si>
  <si>
    <t>sarah.brown@mail.com</t>
  </si>
  <si>
    <t>Robert</t>
  </si>
  <si>
    <t>INS833429</t>
  </si>
  <si>
    <t>robert.wilson@mail.com</t>
  </si>
  <si>
    <t>INS598863</t>
  </si>
  <si>
    <t>john.taylor@mail.com</t>
  </si>
  <si>
    <t>INS467654</t>
  </si>
  <si>
    <t>linda.moore@mail.com</t>
  </si>
  <si>
    <t>INS679036</t>
  </si>
  <si>
    <t>alex.moore@mail.com</t>
  </si>
  <si>
    <t>INS630089</t>
  </si>
  <si>
    <t>david.smith@mail.com</t>
  </si>
  <si>
    <t>INS250262</t>
  </si>
  <si>
    <t>emily.moore@mail.com</t>
  </si>
  <si>
    <t>INS542905</t>
  </si>
  <si>
    <t>robert.miller@mail.com</t>
  </si>
  <si>
    <t>INS335362</t>
  </si>
  <si>
    <t>INS544209</t>
  </si>
  <si>
    <t>INS653880</t>
  </si>
  <si>
    <t>alex.smith@mail.com</t>
  </si>
  <si>
    <t>INS897079</t>
  </si>
  <si>
    <t>INS764076</t>
  </si>
  <si>
    <t>INS319963</t>
  </si>
  <si>
    <t>robert.williams@mail.com</t>
  </si>
  <si>
    <t>INS580761</t>
  </si>
  <si>
    <t>INS348710</t>
  </si>
  <si>
    <t>jane.wilson@mail.com</t>
  </si>
  <si>
    <t>INS320984</t>
  </si>
  <si>
    <t>emily.williams@mail.com</t>
  </si>
  <si>
    <t>INS997059</t>
  </si>
  <si>
    <t>INS956748</t>
  </si>
  <si>
    <t>jane.smith@mail.com</t>
  </si>
  <si>
    <t>INS882355</t>
  </si>
  <si>
    <t>linda.brown@mail.com</t>
  </si>
  <si>
    <t>INS364512</t>
  </si>
  <si>
    <t>robert.taylor@mail.com</t>
  </si>
  <si>
    <t>INS701863</t>
  </si>
  <si>
    <t>linda.miller@mail.com</t>
  </si>
  <si>
    <t>INS368799</t>
  </si>
  <si>
    <t>INS337549</t>
  </si>
  <si>
    <t>INS694319</t>
  </si>
  <si>
    <t>emily.miller@mail.com</t>
  </si>
  <si>
    <t>INS584299</t>
  </si>
  <si>
    <t>david.moore@mail.com</t>
  </si>
  <si>
    <t>INS712210</t>
  </si>
  <si>
    <t>Dermatology</t>
  </si>
  <si>
    <t>Westside Clinic</t>
  </si>
  <si>
    <t>dr.david.taylor@hospital.com</t>
  </si>
  <si>
    <t>Pediatrics</t>
  </si>
  <si>
    <t>Eastside Clinic</t>
  </si>
  <si>
    <t>dr.jane.davis@hospital.com</t>
  </si>
  <si>
    <t>dr.jane.smith@hospital.com</t>
  </si>
  <si>
    <t>Central Hospital</t>
  </si>
  <si>
    <t>dr.david.jones@hospital.com</t>
  </si>
  <si>
    <t>dr.sarah.taylor@hospital.com</t>
  </si>
  <si>
    <t>dr.alex.davis@hospital.com</t>
  </si>
  <si>
    <t>Oncology</t>
  </si>
  <si>
    <t>dr.robert.davis@hospital.com</t>
  </si>
  <si>
    <t>dr.linda.brown@hospital.com</t>
  </si>
  <si>
    <t>dr.sarah.smith@hospital.com</t>
  </si>
  <si>
    <t>dr.linda.wilson@hospital.com</t>
  </si>
  <si>
    <t>B001</t>
  </si>
  <si>
    <t>Insurance</t>
  </si>
  <si>
    <t>Pending</t>
  </si>
  <si>
    <t>B002</t>
  </si>
  <si>
    <t>Paid</t>
  </si>
  <si>
    <t>B003</t>
  </si>
  <si>
    <t>B004</t>
  </si>
  <si>
    <t>Failed</t>
  </si>
  <si>
    <t>B005</t>
  </si>
  <si>
    <t>Credit Card</t>
  </si>
  <si>
    <t>B006</t>
  </si>
  <si>
    <t>B007</t>
  </si>
  <si>
    <t>Cash</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</si>
  <si>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</si>
  <si>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</si>
  <si>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</si>
  <si>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</si>
  <si>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</si>
  <si>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</si>
  <si>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</si>
  <si>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</si>
  <si>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</si>
  <si>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</si>
  <si>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</si>
  <si>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</si>
  <si>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</si>
  <si>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</si>
  <si>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</si>
  <si>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</si>
  <si>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</si>
  <si>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</si>
  <si>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</si>
  <si>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</si>
  <si>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</si>
  <si>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</si>
  <si>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</si>
  <si>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</si>
  <si>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</si>
  <si>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</si>
  <si>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</si>
  <si>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</si>
  <si>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</si>
  <si>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</si>
  <si>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</si>
  <si>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</si>
  <si>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</si>
  <si>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B041</t>
  </si>
  <si>
    <t>B042</t>
  </si>
  <si>
    <t>B043</t>
  </si>
  <si>
    <t>B044</t>
  </si>
  <si>
    <t>B045</t>
  </si>
  <si>
    <t>B046</t>
  </si>
  <si>
    <t>B047</t>
  </si>
  <si>
    <t>B048</t>
  </si>
  <si>
    <t>B049</t>
  </si>
  <si>
    <t>B050</t>
  </si>
  <si>
    <t>B051</t>
  </si>
  <si>
    <t>B052</t>
  </si>
  <si>
    <t>B053</t>
  </si>
  <si>
    <t>B054</t>
  </si>
  <si>
    <t>B055</t>
  </si>
  <si>
    <t>B056</t>
  </si>
  <si>
    <t>B057</t>
  </si>
  <si>
    <t>B058</t>
  </si>
  <si>
    <t>B059</t>
  </si>
  <si>
    <t>B060</t>
  </si>
  <si>
    <t>B061</t>
  </si>
  <si>
    <t>B062</t>
  </si>
  <si>
    <t>B063</t>
  </si>
  <si>
    <t>B064</t>
  </si>
  <si>
    <t>B065</t>
  </si>
  <si>
    <t>B066</t>
  </si>
  <si>
    <t>B067</t>
  </si>
  <si>
    <t>B068</t>
  </si>
  <si>
    <t>B069</t>
  </si>
  <si>
    <t>B070</t>
  </si>
  <si>
    <t>B071</t>
  </si>
  <si>
    <t>B072</t>
  </si>
  <si>
    <t>B073</t>
  </si>
  <si>
    <t>B074</t>
  </si>
  <si>
    <t>B075</t>
  </si>
  <si>
    <t>B076</t>
  </si>
  <si>
    <t>B077</t>
  </si>
  <si>
    <t>B078</t>
  </si>
  <si>
    <t>B079</t>
  </si>
  <si>
    <t>B080</t>
  </si>
  <si>
    <t>B081</t>
  </si>
  <si>
    <t>B082</t>
  </si>
  <si>
    <t>B083</t>
  </si>
  <si>
    <t>B084</t>
  </si>
  <si>
    <t>B085</t>
  </si>
  <si>
    <t>B086</t>
  </si>
  <si>
    <t>B087</t>
  </si>
  <si>
    <t>B088</t>
  </si>
  <si>
    <t>B089</t>
  </si>
  <si>
    <t>B090</t>
  </si>
  <si>
    <t>B091</t>
  </si>
  <si>
    <t>B092</t>
  </si>
  <si>
    <t>B093</t>
  </si>
  <si>
    <t>B094</t>
  </si>
  <si>
    <t>B095</t>
  </si>
  <si>
    <t>B096</t>
  </si>
  <si>
    <t>B097</t>
  </si>
  <si>
    <t>B098</t>
  </si>
  <si>
    <t>B099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</si>
  <si>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</si>
  <si>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</si>
  <si>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</si>
  <si>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</si>
  <si>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</si>
  <si>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</si>
  <si>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</si>
  <si>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</si>
  <si>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</si>
  <si>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</si>
  <si>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</si>
  <si>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</si>
  <si>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</si>
  <si>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</si>
  <si>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</si>
  <si>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</si>
  <si>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</si>
  <si>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</si>
  <si>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</si>
  <si>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</si>
  <si>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</si>
  <si>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</si>
  <si>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</si>
  <si>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</si>
  <si>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</si>
  <si>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</si>
  <si>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</si>
  <si>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</si>
  <si>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</si>
  <si>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</si>
  <si>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</si>
  <si>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</si>
  <si>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</si>
  <si>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</si>
  <si>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</si>
  <si>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</si>
  <si>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</si>
  <si>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</si>
  <si>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</si>
  <si>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</si>
  <si>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</si>
  <si>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</si>
  <si>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</si>
  <si>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</si>
  <si>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</si>
  <si>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</si>
  <si>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</si>
  <si>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</si>
  <si>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</si>
  <si>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</si>
  <si>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</si>
  <si>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</si>
  <si>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</si>
  <si>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</si>
  <si>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</si>
  <si>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</si>
  <si>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</si>
  <si>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</si>
  <si>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</si>
  <si>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</si>
  <si>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</si>
  <si>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</si>
  <si>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</si>
  <si>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</si>
  <si>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</si>
  <si>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</si>
  <si>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</si>
  <si>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</si>
  <si>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</si>
  <si>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</si>
  <si>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</si>
  <si>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</si>
  <si>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</si>
  <si>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</si>
  <si>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</si>
  <si>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</si>
  <si>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</si>
  <si>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</si>
  <si>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</si>
  <si>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</si>
  <si>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</si>
  <si>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</si>
  <si>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</si>
  <si>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</si>
  <si>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</si>
  <si>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</si>
  <si>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</si>
  <si>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</si>
  <si>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B188</t>
  </si>
  <si>
    <t>B189</t>
  </si>
  <si>
    <t>B190</t>
  </si>
  <si>
    <t>B191</t>
  </si>
  <si>
    <t>B192</t>
  </si>
  <si>
    <t>B193</t>
  </si>
  <si>
    <t>B194</t>
  </si>
  <si>
    <t>B195</t>
  </si>
  <si>
    <t>B196</t>
  </si>
  <si>
    <t>B197</t>
  </si>
  <si>
    <t>B198</t>
  </si>
  <si>
    <t>B199</t>
  </si>
  <si>
    <t>B200</t>
  </si>
  <si>
    <t>Bill_Id</t>
  </si>
  <si>
    <t>Patient_Id</t>
  </si>
  <si>
    <t>Treatment_Id</t>
  </si>
  <si>
    <t>Bill_Date</t>
  </si>
  <si>
    <t>Amount</t>
  </si>
  <si>
    <t>Payment_Method</t>
  </si>
  <si>
    <t>Payment_Status</t>
  </si>
  <si>
    <t>Appointment_Id</t>
  </si>
  <si>
    <t>Doctor_Id</t>
  </si>
  <si>
    <t>Appointment_Date</t>
  </si>
  <si>
    <t>Appointment_Time</t>
  </si>
  <si>
    <t>Reason_For_Visit</t>
  </si>
  <si>
    <t>Status</t>
  </si>
  <si>
    <t>Treatment_Type</t>
  </si>
  <si>
    <t>Description</t>
  </si>
  <si>
    <t>Cost</t>
  </si>
  <si>
    <t>Treatment_Date</t>
  </si>
  <si>
    <t>First_Name</t>
  </si>
  <si>
    <t>Last_Name</t>
  </si>
  <si>
    <t>Gender</t>
  </si>
  <si>
    <t>Date_Of_Birth</t>
  </si>
  <si>
    <t>Contact_Number</t>
  </si>
  <si>
    <t>Address</t>
  </si>
  <si>
    <t>Registration_Date</t>
  </si>
  <si>
    <t>Insurance_Provider</t>
  </si>
  <si>
    <t>Insurance_Number</t>
  </si>
  <si>
    <t>Email</t>
  </si>
  <si>
    <t>Specialization</t>
  </si>
  <si>
    <t>Phone_Number</t>
  </si>
  <si>
    <t>Years_Experience</t>
  </si>
  <si>
    <t>Hospital_Branch</t>
  </si>
  <si>
    <t>1. Which doctors have the highest number of appointments?</t>
  </si>
  <si>
    <t>Full Name</t>
  </si>
  <si>
    <t>Doctor Name</t>
  </si>
  <si>
    <t>David Taylor</t>
  </si>
  <si>
    <t>Jane Davis</t>
  </si>
  <si>
    <t>Jane Smith</t>
  </si>
  <si>
    <t>David Jones</t>
  </si>
  <si>
    <t>Sarah Taylor</t>
  </si>
  <si>
    <t>Alex Davis</t>
  </si>
  <si>
    <t>Robert Davis</t>
  </si>
  <si>
    <t>Linda Brown</t>
  </si>
  <si>
    <t>Sarah Smith</t>
  </si>
  <si>
    <t>Linda Wilson</t>
  </si>
  <si>
    <t>Row Labels</t>
  </si>
  <si>
    <t>Grand Total</t>
  </si>
  <si>
    <t>Count of Appointment_Id</t>
  </si>
  <si>
    <t>Count of Patient_Id</t>
  </si>
  <si>
    <t>most commonly the patients are coming for checkup and consultation</t>
  </si>
  <si>
    <t>Month</t>
  </si>
  <si>
    <t>Sum of Amount</t>
  </si>
  <si>
    <t>Doctor name</t>
  </si>
  <si>
    <t>2. What are the most common reasons for patient visits?</t>
  </si>
  <si>
    <t>4. What is the monthly trend of hospital billing revenue?</t>
  </si>
  <si>
    <t>5. Which doctors generate the highest billing revenue?</t>
  </si>
  <si>
    <t>3. Which treatment types generate the highest billing revenue?</t>
  </si>
  <si>
    <t>Hospital Management CHARTS</t>
  </si>
  <si>
    <t>September-2023</t>
  </si>
  <si>
    <t>May-2023</t>
  </si>
  <si>
    <t>November-2023</t>
  </si>
  <si>
    <t>July-2023</t>
  </si>
  <si>
    <t>June-2023</t>
  </si>
  <si>
    <t>March-2023</t>
  </si>
  <si>
    <t>October-2023</t>
  </si>
  <si>
    <t>STEP</t>
  </si>
  <si>
    <t>SHEET</t>
  </si>
  <si>
    <t>CHANGE MADE</t>
  </si>
  <si>
    <t>All datasets</t>
  </si>
  <si>
    <t>Checked Duplicate appoinment IDs,bill IDs &amp; treatment IDs &amp; No Duplicates found</t>
  </si>
  <si>
    <t>Checked Missing Values and No Missing values Founded</t>
  </si>
  <si>
    <t>Added all data to data modelling</t>
  </si>
  <si>
    <t xml:space="preserve">Billing </t>
  </si>
  <si>
    <t>Added docter ID &amp; Name and Treatment Type Using XLOOKUP</t>
  </si>
  <si>
    <t>Appoinment</t>
  </si>
  <si>
    <t>Added doctor name using xlookup</t>
  </si>
  <si>
    <t>Doctor</t>
  </si>
  <si>
    <t>Added a column full name with concat fuction</t>
  </si>
  <si>
    <t>CHANGE LOG</t>
  </si>
  <si>
    <t>April-2023</t>
  </si>
  <si>
    <t>August-2023</t>
  </si>
  <si>
    <t>December-2023</t>
  </si>
  <si>
    <t>February-2023</t>
  </si>
  <si>
    <t>January-2023</t>
  </si>
  <si>
    <t>Identify doctors with the highest appointment volumes and optimize their schedules.</t>
  </si>
  <si>
    <r>
      <t xml:space="preserve">Promote and improve high-revenue treatments such as </t>
    </r>
    <r>
      <rPr>
        <b/>
        <sz val="11"/>
        <color theme="1"/>
        <rFont val="Calibri"/>
        <family val="2"/>
        <scheme val="minor"/>
      </rPr>
      <t>Chemotherapy</t>
    </r>
    <r>
      <rPr>
        <sz val="11"/>
        <color theme="1"/>
        <rFont val="Calibri"/>
        <family val="2"/>
        <scheme val="minor"/>
      </rPr>
      <t xml:space="preserve"> while maintaining quality of care.</t>
    </r>
  </si>
  <si>
    <t>Track monthly billing trends and investigate months with unusually low revenue.</t>
  </si>
  <si>
    <t>Study high-revenue doctors and understand which treatments/services drive their revenue.</t>
  </si>
  <si>
    <t>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</si>
</sst>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12"/>
      <color theme="1"/>
      <name val="Calibri"/>
      <family val="2"/>
      <scheme val="minor"/>
    </font>
    <font>
      <b/>
      <sz val="16"/>
      <color theme="1"/>
      <name val="Calibri"/>
      <family val="2"/>
      <scheme val="minor"/>
    </font>
    <font>
      <b/>
      <sz val="24"/>
      <color theme="1"/>
      <name val="Algerian"/>
      <family val="5"/>
    </font>
    <font>
      <sz val="24"/>
      <color theme="1"/>
      <name val="Algerian"/>
      <family val="5"/>
    </font>
    <font>
      <b/>
      <sz val="14"/>
      <color theme="1"/>
      <name val="Calibri"/>
      <family val="2"/>
      <scheme val="minor"/>
    </font>
    <font>
      <sz val="48"/>
      <color theme="1"/>
      <name val="Algerian"/>
      <family val="5"/>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21" fontId="0" fillId="0" borderId="10" xfId="0" applyNumberFormat="1" applyBorder="1"/>
    <xf numFmtId="0" fontId="0" fillId="0" borderId="10" xfId="0" applyBorder="1"/>
    <xf numFmtId="0" fontId="16" fillId="0" borderId="10" xfId="0" applyFont="1" applyBorder="1"/>
    <xf numFmtId="14" fontId="0" fillId="0" borderId="10" xfId="0" applyNumberFormat="1" applyBorder="1"/>
    <xf numFmtId="0" fontId="0" fillId="0" borderId="0" xfId="0" applyAlignment="1">
      <alignment horizontal="left"/>
    </xf>
    <xf numFmtId="0" fontId="0" fillId="34" borderId="0" xfId="0" applyFill="1"/>
    <xf numFmtId="0" fontId="22" fillId="34" borderId="0" xfId="0" applyFont="1" applyFill="1" applyAlignment="1">
      <alignment horizontal="center" vertical="center"/>
    </xf>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34" borderId="10" xfId="0" applyFill="1" applyBorder="1"/>
    <xf numFmtId="0" fontId="23" fillId="34" borderId="10" xfId="0" applyFont="1" applyFill="1" applyBorder="1"/>
    <xf numFmtId="0" fontId="18" fillId="33" borderId="11" xfId="0" applyFont="1" applyFill="1" applyBorder="1" applyAlignment="1">
      <alignment horizontal="left" vertical="center" indent="1"/>
    </xf>
    <xf numFmtId="0" fontId="0" fillId="34" borderId="12" xfId="0" applyFill="1" applyBorder="1"/>
    <xf numFmtId="0" fontId="0" fillId="34" borderId="13" xfId="0" applyFill="1" applyBorder="1"/>
    <xf numFmtId="0" fontId="18" fillId="33" borderId="10" xfId="0" applyFont="1" applyFill="1" applyBorder="1" applyAlignment="1">
      <alignment horizontal="left" vertical="center" indent="1"/>
    </xf>
    <xf numFmtId="0" fontId="20" fillId="34" borderId="10" xfId="0" applyFont="1" applyFill="1" applyBorder="1" applyAlignment="1">
      <alignment horizontal="left"/>
    </xf>
    <xf numFmtId="0" fontId="19" fillId="34" borderId="10" xfId="0" applyFont="1" applyFill="1" applyBorder="1" applyAlignment="1">
      <alignment vertical="center" wrapText="1"/>
    </xf>
    <xf numFmtId="0" fontId="18" fillId="34" borderId="10" xfId="0" applyFont="1" applyFill="1" applyBorder="1" applyAlignment="1">
      <alignment horizontal="left" vertical="center" indent="1"/>
    </xf>
    <xf numFmtId="0" fontId="18" fillId="34" borderId="10" xfId="0" applyFont="1" applyFill="1" applyBorder="1" applyAlignment="1">
      <alignment horizontal="left"/>
    </xf>
    <xf numFmtId="0" fontId="0" fillId="35" borderId="0" xfId="0" applyFill="1"/>
    <xf numFmtId="0" fontId="0" fillId="0" borderId="0" xfId="0" applyAlignment="1">
      <alignment horizontal="center"/>
    </xf>
    <xf numFmtId="0" fontId="21" fillId="33" borderId="0" xfId="0" applyFont="1" applyFill="1" applyAlignment="1">
      <alignment horizontal="center" vertical="center"/>
    </xf>
    <xf numFmtId="0" fontId="22" fillId="33" borderId="0" xfId="0" applyFont="1" applyFill="1" applyAlignment="1">
      <alignment horizontal="center" vertical="center"/>
    </xf>
    <xf numFmtId="0" fontId="24" fillId="33" borderId="10" xfId="0" applyFont="1" applyFill="1" applyBorder="1" applyAlignment="1">
      <alignment horizontal="center"/>
    </xf>
    <xf numFmtId="0" fontId="0" fillId="33" borderId="10" xfId="0" applyFill="1" applyBorder="1" applyAlignment="1">
      <alignment horizontal="center"/>
    </xf>
    <xf numFmtId="0" fontId="0" fillId="35" borderId="0" xfId="0" applyFill="1" applyBorder="1"/>
    <xf numFmtId="0" fontId="0" fillId="35" borderId="0" xfId="0" applyFill="1" applyBorder="1" applyAlignment="1">
      <alignment horizontal="left"/>
    </xf>
    <xf numFmtId="0" fontId="0" fillId="35" borderId="0" xfId="0" applyNumberForma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0">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39" Type="http://schemas.openxmlformats.org/officeDocument/2006/relationships/theme" Target="theme/theme1.xml"/><Relationship Id="rId21" Type="http://schemas.openxmlformats.org/officeDocument/2006/relationships/worksheet" Target="worksheets/sheet21.xml"/><Relationship Id="rId34" Type="http://schemas.microsoft.com/office/2007/relationships/slicerCache" Target="slicerCaches/slicerCache2.xml"/><Relationship Id="rId42" Type="http://schemas.openxmlformats.org/officeDocument/2006/relationships/sharedStrings" Target="sharedStrings.xml"/><Relationship Id="rId47" Type="http://schemas.openxmlformats.org/officeDocument/2006/relationships/customXml" Target="../customXml/item3.xml"/><Relationship Id="rId50" Type="http://schemas.openxmlformats.org/officeDocument/2006/relationships/customXml" Target="../customXml/item6.xml"/><Relationship Id="rId55" Type="http://schemas.openxmlformats.org/officeDocument/2006/relationships/customXml" Target="../customXml/item11.xml"/><Relationship Id="rId63"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8.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openxmlformats.org/officeDocument/2006/relationships/pivotCacheDefinition" Target="pivotCache/pivotCacheDefinition11.xml"/><Relationship Id="rId37" Type="http://schemas.openxmlformats.org/officeDocument/2006/relationships/pivotCacheDefinition" Target="pivotCache/pivotCacheDefinition12.xml"/><Relationship Id="rId40" Type="http://schemas.openxmlformats.org/officeDocument/2006/relationships/connections" Target="connections.xml"/><Relationship Id="rId45" Type="http://schemas.openxmlformats.org/officeDocument/2006/relationships/customXml" Target="../customXml/item1.xml"/><Relationship Id="rId53" Type="http://schemas.openxmlformats.org/officeDocument/2006/relationships/customXml" Target="../customXml/item9.xml"/><Relationship Id="rId58" Type="http://schemas.openxmlformats.org/officeDocument/2006/relationships/customXml" Target="../customXml/item14.xml"/><Relationship Id="rId5" Type="http://schemas.openxmlformats.org/officeDocument/2006/relationships/worksheet" Target="worksheets/sheet5.xml"/><Relationship Id="rId61" Type="http://schemas.openxmlformats.org/officeDocument/2006/relationships/customXml" Target="../customXml/item1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pivotCacheDefinition" Target="pivotCache/pivotCacheDefinition9.xml"/><Relationship Id="rId35" Type="http://schemas.microsoft.com/office/2007/relationships/slicerCache" Target="slicerCaches/slicerCache3.xml"/><Relationship Id="rId43" Type="http://schemas.openxmlformats.org/officeDocument/2006/relationships/powerPivotData" Target="model/item.data"/><Relationship Id="rId48" Type="http://schemas.openxmlformats.org/officeDocument/2006/relationships/customXml" Target="../customXml/item4.xml"/><Relationship Id="rId56" Type="http://schemas.openxmlformats.org/officeDocument/2006/relationships/customXml" Target="../customXml/item12.xml"/><Relationship Id="rId64"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microsoft.com/office/2007/relationships/slicerCache" Target="slicerCaches/slicerCache1.xml"/><Relationship Id="rId38" Type="http://schemas.microsoft.com/office/2011/relationships/timelineCache" Target="timelineCaches/timelineCache1.xml"/><Relationship Id="rId46" Type="http://schemas.openxmlformats.org/officeDocument/2006/relationships/customXml" Target="../customXml/item2.xml"/><Relationship Id="rId59" Type="http://schemas.openxmlformats.org/officeDocument/2006/relationships/customXml" Target="../customXml/item15.xml"/><Relationship Id="rId20" Type="http://schemas.openxmlformats.org/officeDocument/2006/relationships/worksheet" Target="worksheets/sheet20.xml"/><Relationship Id="rId41" Type="http://schemas.openxmlformats.org/officeDocument/2006/relationships/styles" Target="styles.xml"/><Relationship Id="rId54" Type="http://schemas.openxmlformats.org/officeDocument/2006/relationships/customXml" Target="../customXml/item10.xml"/><Relationship Id="rId62"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microsoft.com/office/2007/relationships/slicerCache" Target="slicerCaches/slicerCache4.xml"/><Relationship Id="rId49" Type="http://schemas.openxmlformats.org/officeDocument/2006/relationships/customXml" Target="../customXml/item5.xml"/><Relationship Id="rId57" Type="http://schemas.openxmlformats.org/officeDocument/2006/relationships/customXml" Target="../customXml/item13.xml"/><Relationship Id="rId10" Type="http://schemas.openxmlformats.org/officeDocument/2006/relationships/worksheet" Target="worksheets/sheet10.xml"/><Relationship Id="rId31" Type="http://schemas.openxmlformats.org/officeDocument/2006/relationships/pivotCacheDefinition" Target="pivotCache/pivotCacheDefinition10.xml"/><Relationship Id="rId44" Type="http://schemas.openxmlformats.org/officeDocument/2006/relationships/calcChain" Target="calcChain.xml"/><Relationship Id="rId52" Type="http://schemas.openxmlformats.org/officeDocument/2006/relationships/customXml" Target="../customXml/item8.xml"/><Relationship Id="rId60"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og.xlsx]PIVIOT!PivotTable29</c:name>
    <c:fmtId val="15"/>
  </c:pivotSource>
  <c:chart>
    <c:title>
      <c:tx>
        <c:rich>
          <a:bodyPr rot="0" spcFirstLastPara="1" vertOverflow="ellipsis" vert="horz" wrap="square" anchor="ctr" anchorCtr="1"/>
          <a:lstStyle/>
          <a:p>
            <a:pPr algn="ctr" rtl="0">
              <a:defRPr lang="en-US" sz="1800" b="1" i="0" u="none" strike="noStrike" kern="1200" cap="all" spc="50" baseline="0">
                <a:solidFill>
                  <a:sysClr val="windowText" lastClr="000000">
                    <a:lumMod val="65000"/>
                    <a:lumOff val="35000"/>
                  </a:sysClr>
                </a:solidFill>
                <a:latin typeface="Algerian" panose="04020705040A02060702" pitchFamily="82" charset="0"/>
                <a:ea typeface="+mn-ea"/>
                <a:cs typeface="+mn-cs"/>
              </a:defRPr>
            </a:pPr>
            <a:r>
              <a:rPr lang="en-US" sz="1800" b="1" i="0" u="none" strike="noStrike" kern="1200" cap="all" spc="50" baseline="0">
                <a:solidFill>
                  <a:sysClr val="windowText" lastClr="000000">
                    <a:lumMod val="65000"/>
                    <a:lumOff val="35000"/>
                  </a:sysClr>
                </a:solidFill>
                <a:latin typeface="Algerian" panose="04020705040A02060702" pitchFamily="82" charset="0"/>
              </a:rPr>
              <a:t>MONTHLY BILLING REVENUE</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
        <c:idx val="3"/>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
        <c:idx val="4"/>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
        <c:idx val="5"/>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
        <c:idx val="6"/>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
        <c:idx val="7"/>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1.9165417291354323E-2"/>
          <c:y val="0.15319444444444447"/>
          <c:w val="0.93888888888888888"/>
          <c:h val="0.6435808544765238"/>
        </c:manualLayout>
      </c:layout>
      <c:lineChart>
        <c:grouping val="standard"/>
        <c:varyColors val="0"/>
        <c:ser>
          <c:idx val="0"/>
          <c:order val="0"/>
          <c:tx>
            <c:strRef>
              <c:f>PIVIOT!$C$59</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PIVIOT!$B$60:$B$72</c:f>
              <c:strCache>
                <c:ptCount val="12"/>
                <c:pt idx="0">
                  <c:v>April-2023</c:v>
                </c:pt>
                <c:pt idx="1">
                  <c:v>August-2023</c:v>
                </c:pt>
                <c:pt idx="2">
                  <c:v>December-2023</c:v>
                </c:pt>
                <c:pt idx="3">
                  <c:v>February-2023</c:v>
                </c:pt>
                <c:pt idx="4">
                  <c:v>January-2023</c:v>
                </c:pt>
                <c:pt idx="5">
                  <c:v>July-2023</c:v>
                </c:pt>
                <c:pt idx="6">
                  <c:v>June-2023</c:v>
                </c:pt>
                <c:pt idx="7">
                  <c:v>March-2023</c:v>
                </c:pt>
                <c:pt idx="8">
                  <c:v>May-2023</c:v>
                </c:pt>
                <c:pt idx="9">
                  <c:v>November-2023</c:v>
                </c:pt>
                <c:pt idx="10">
                  <c:v>October-2023</c:v>
                </c:pt>
                <c:pt idx="11">
                  <c:v>September-2023</c:v>
                </c:pt>
              </c:strCache>
            </c:strRef>
          </c:cat>
          <c:val>
            <c:numRef>
              <c:f>PIVIOT!$C$60:$C$72</c:f>
              <c:numCache>
                <c:formatCode>General</c:formatCode>
                <c:ptCount val="12"/>
                <c:pt idx="0">
                  <c:v>64271.54</c:v>
                </c:pt>
                <c:pt idx="1">
                  <c:v>41958.67</c:v>
                </c:pt>
                <c:pt idx="2">
                  <c:v>27569.71</c:v>
                </c:pt>
                <c:pt idx="3">
                  <c:v>36669.69</c:v>
                </c:pt>
                <c:pt idx="4">
                  <c:v>58701.23</c:v>
                </c:pt>
                <c:pt idx="5">
                  <c:v>39880.19</c:v>
                </c:pt>
                <c:pt idx="6">
                  <c:v>56887.82</c:v>
                </c:pt>
                <c:pt idx="7">
                  <c:v>47304.29</c:v>
                </c:pt>
                <c:pt idx="8">
                  <c:v>48791.05</c:v>
                </c:pt>
                <c:pt idx="9">
                  <c:v>52474.98</c:v>
                </c:pt>
                <c:pt idx="10">
                  <c:v>43314.15</c:v>
                </c:pt>
                <c:pt idx="11">
                  <c:v>33426.53</c:v>
                </c:pt>
              </c:numCache>
            </c:numRef>
          </c:val>
          <c:smooth val="0"/>
          <c:extLst>
            <c:ext xmlns:c16="http://schemas.microsoft.com/office/drawing/2014/chart" uri="{C3380CC4-5D6E-409C-BE32-E72D297353CC}">
              <c16:uniqueId val="{00000000-0D11-43FD-B7F6-5A240D6EC1E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85021007"/>
        <c:axId val="1694422671"/>
      </c:lineChart>
      <c:catAx>
        <c:axId val="1685021007"/>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94422671"/>
        <c:crosses val="autoZero"/>
        <c:auto val="1"/>
        <c:lblAlgn val="ctr"/>
        <c:lblOffset val="100"/>
        <c:noMultiLvlLbl val="0"/>
      </c:catAx>
      <c:valAx>
        <c:axId val="1694422671"/>
        <c:scaling>
          <c:orientation val="minMax"/>
        </c:scaling>
        <c:delete val="1"/>
        <c:axPos val="l"/>
        <c:numFmt formatCode="General" sourceLinked="1"/>
        <c:majorTickMark val="out"/>
        <c:minorTickMark val="none"/>
        <c:tickLblPos val="nextTo"/>
        <c:crossAx val="168502100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og.xlsx]PIVIOT!PivotTable26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Algerian" panose="04020705040A02060702" pitchFamily="82" charset="0"/>
              </a:rPr>
              <a:t>APPOINTMENTS BY DOCTOR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PIVIOT!$C$3</c:f>
              <c:strCache>
                <c:ptCount val="1"/>
                <c:pt idx="0">
                  <c:v>Total</c:v>
                </c:pt>
              </c:strCache>
            </c:strRef>
          </c:tx>
          <c:spPr>
            <a:solidFill>
              <a:schemeClr val="accent1"/>
            </a:solidFill>
            <a:ln>
              <a:noFill/>
            </a:ln>
            <a:effectLst/>
          </c:spPr>
          <c:invertIfNegative val="0"/>
          <c:cat>
            <c:strRef>
              <c:f>PIVIOT!$B$4:$B$14</c:f>
              <c:strCache>
                <c:ptCount val="10"/>
                <c:pt idx="0">
                  <c:v>Alex Davis</c:v>
                </c:pt>
                <c:pt idx="1">
                  <c:v>David Jones</c:v>
                </c:pt>
                <c:pt idx="2">
                  <c:v>David Taylor</c:v>
                </c:pt>
                <c:pt idx="3">
                  <c:v>Jane Davis</c:v>
                </c:pt>
                <c:pt idx="4">
                  <c:v>Jane Smith</c:v>
                </c:pt>
                <c:pt idx="5">
                  <c:v>Linda Brown</c:v>
                </c:pt>
                <c:pt idx="6">
                  <c:v>Linda Wilson</c:v>
                </c:pt>
                <c:pt idx="7">
                  <c:v>Robert Davis</c:v>
                </c:pt>
                <c:pt idx="8">
                  <c:v>Sarah Smith</c:v>
                </c:pt>
                <c:pt idx="9">
                  <c:v>Sarah Taylor</c:v>
                </c:pt>
              </c:strCache>
            </c:strRef>
          </c:cat>
          <c:val>
            <c:numRef>
              <c:f>PIVIOT!$C$4:$C$14</c:f>
              <c:numCache>
                <c:formatCode>General</c:formatCode>
                <c:ptCount val="10"/>
                <c:pt idx="0">
                  <c:v>24</c:v>
                </c:pt>
                <c:pt idx="1">
                  <c:v>14</c:v>
                </c:pt>
                <c:pt idx="2">
                  <c:v>25</c:v>
                </c:pt>
                <c:pt idx="3">
                  <c:v>21</c:v>
                </c:pt>
                <c:pt idx="4">
                  <c:v>22</c:v>
                </c:pt>
                <c:pt idx="5">
                  <c:v>16</c:v>
                </c:pt>
                <c:pt idx="6">
                  <c:v>19</c:v>
                </c:pt>
                <c:pt idx="7">
                  <c:v>13</c:v>
                </c:pt>
                <c:pt idx="8">
                  <c:v>17</c:v>
                </c:pt>
                <c:pt idx="9">
                  <c:v>29</c:v>
                </c:pt>
              </c:numCache>
            </c:numRef>
          </c:val>
          <c:extLst>
            <c:ext xmlns:c16="http://schemas.microsoft.com/office/drawing/2014/chart" uri="{C3380CC4-5D6E-409C-BE32-E72D297353CC}">
              <c16:uniqueId val="{00000000-003B-40F6-BDAC-ABCE435BB491}"/>
            </c:ext>
          </c:extLst>
        </c:ser>
        <c:dLbls>
          <c:showLegendKey val="0"/>
          <c:showVal val="0"/>
          <c:showCatName val="0"/>
          <c:showSerName val="0"/>
          <c:showPercent val="0"/>
          <c:showBubbleSize val="0"/>
        </c:dLbls>
        <c:gapWidth val="219"/>
        <c:overlap val="-27"/>
        <c:axId val="1303626064"/>
        <c:axId val="1907045808"/>
      </c:barChart>
      <c:catAx>
        <c:axId val="130362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45808"/>
        <c:crosses val="autoZero"/>
        <c:auto val="1"/>
        <c:lblAlgn val="ctr"/>
        <c:lblOffset val="100"/>
        <c:noMultiLvlLbl val="0"/>
      </c:catAx>
      <c:valAx>
        <c:axId val="190704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62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og.xlsx]PIVIOT!PivotTable27</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Algerian" panose="04020705040A02060702" pitchFamily="82" charset="0"/>
              </a:rPr>
              <a:t>REASONS FOR PATIENT VISITS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PIVIOT!$C$26</c:f>
              <c:strCache>
                <c:ptCount val="1"/>
                <c:pt idx="0">
                  <c:v>Total</c:v>
                </c:pt>
              </c:strCache>
            </c:strRef>
          </c:tx>
          <c:spPr>
            <a:solidFill>
              <a:schemeClr val="accent1"/>
            </a:solidFill>
            <a:ln>
              <a:noFill/>
            </a:ln>
            <a:effectLst/>
          </c:spPr>
          <c:invertIfNegative val="0"/>
          <c:cat>
            <c:strRef>
              <c:f>PIVIOT!$B$27:$B$32</c:f>
              <c:strCache>
                <c:ptCount val="5"/>
                <c:pt idx="0">
                  <c:v>Therapy</c:v>
                </c:pt>
                <c:pt idx="1">
                  <c:v>Checkup</c:v>
                </c:pt>
                <c:pt idx="2">
                  <c:v>Consultation</c:v>
                </c:pt>
                <c:pt idx="3">
                  <c:v>Follow-up</c:v>
                </c:pt>
                <c:pt idx="4">
                  <c:v>Emergency</c:v>
                </c:pt>
              </c:strCache>
            </c:strRef>
          </c:cat>
          <c:val>
            <c:numRef>
              <c:f>PIVIOT!$C$27:$C$32</c:f>
              <c:numCache>
                <c:formatCode>General</c:formatCode>
                <c:ptCount val="5"/>
                <c:pt idx="0">
                  <c:v>42</c:v>
                </c:pt>
                <c:pt idx="1">
                  <c:v>45</c:v>
                </c:pt>
                <c:pt idx="2">
                  <c:v>43</c:v>
                </c:pt>
                <c:pt idx="3">
                  <c:v>41</c:v>
                </c:pt>
                <c:pt idx="4">
                  <c:v>29</c:v>
                </c:pt>
              </c:numCache>
            </c:numRef>
          </c:val>
          <c:extLst>
            <c:ext xmlns:c16="http://schemas.microsoft.com/office/drawing/2014/chart" uri="{C3380CC4-5D6E-409C-BE32-E72D297353CC}">
              <c16:uniqueId val="{00000000-0D86-4831-8CB0-998C22463709}"/>
            </c:ext>
          </c:extLst>
        </c:ser>
        <c:dLbls>
          <c:showLegendKey val="0"/>
          <c:showVal val="0"/>
          <c:showCatName val="0"/>
          <c:showSerName val="0"/>
          <c:showPercent val="0"/>
          <c:showBubbleSize val="0"/>
        </c:dLbls>
        <c:gapWidth val="219"/>
        <c:overlap val="-27"/>
        <c:axId val="1303594976"/>
        <c:axId val="2064255920"/>
      </c:barChart>
      <c:catAx>
        <c:axId val="13035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255920"/>
        <c:crosses val="autoZero"/>
        <c:auto val="1"/>
        <c:lblAlgn val="ctr"/>
        <c:lblOffset val="100"/>
        <c:noMultiLvlLbl val="0"/>
      </c:catAx>
      <c:valAx>
        <c:axId val="206425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59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og.xlsx]PIVIOT!PivotTable28</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Algerian" panose="04020705040A02060702" pitchFamily="82" charset="0"/>
              </a:rPr>
              <a:t>REVENUE BY TREATMENT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PIVIOT!$C$40</c:f>
              <c:strCache>
                <c:ptCount val="1"/>
                <c:pt idx="0">
                  <c:v>Total</c:v>
                </c:pt>
              </c:strCache>
            </c:strRef>
          </c:tx>
          <c:spPr>
            <a:solidFill>
              <a:schemeClr val="accent1"/>
            </a:solidFill>
            <a:ln>
              <a:noFill/>
            </a:ln>
            <a:effectLst/>
          </c:spPr>
          <c:invertIfNegative val="0"/>
          <c:cat>
            <c:strRef>
              <c:f>PIVIOT!$B$41:$B$46</c:f>
              <c:strCache>
                <c:ptCount val="5"/>
                <c:pt idx="0">
                  <c:v>Chemotherapy</c:v>
                </c:pt>
                <c:pt idx="1">
                  <c:v>ECG</c:v>
                </c:pt>
                <c:pt idx="2">
                  <c:v>MRI</c:v>
                </c:pt>
                <c:pt idx="3">
                  <c:v>Physiotherapy</c:v>
                </c:pt>
                <c:pt idx="4">
                  <c:v>X-Ray</c:v>
                </c:pt>
              </c:strCache>
            </c:strRef>
          </c:cat>
          <c:val>
            <c:numRef>
              <c:f>PIVIOT!$C$41:$C$46</c:f>
              <c:numCache>
                <c:formatCode>General</c:formatCode>
                <c:ptCount val="5"/>
                <c:pt idx="0">
                  <c:v>128855.67999999999</c:v>
                </c:pt>
                <c:pt idx="1">
                  <c:v>96224.24</c:v>
                </c:pt>
                <c:pt idx="2">
                  <c:v>116098.16</c:v>
                </c:pt>
                <c:pt idx="3">
                  <c:v>99418.1</c:v>
                </c:pt>
                <c:pt idx="4">
                  <c:v>110653.67</c:v>
                </c:pt>
              </c:numCache>
            </c:numRef>
          </c:val>
          <c:extLst>
            <c:ext xmlns:c16="http://schemas.microsoft.com/office/drawing/2014/chart" uri="{C3380CC4-5D6E-409C-BE32-E72D297353CC}">
              <c16:uniqueId val="{00000000-237B-4398-AFA8-B96045248245}"/>
            </c:ext>
          </c:extLst>
        </c:ser>
        <c:dLbls>
          <c:showLegendKey val="0"/>
          <c:showVal val="0"/>
          <c:showCatName val="0"/>
          <c:showSerName val="0"/>
          <c:showPercent val="0"/>
          <c:showBubbleSize val="0"/>
        </c:dLbls>
        <c:gapWidth val="219"/>
        <c:overlap val="-27"/>
        <c:axId val="1303556464"/>
        <c:axId val="862882735"/>
      </c:barChart>
      <c:catAx>
        <c:axId val="130355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82735"/>
        <c:crosses val="autoZero"/>
        <c:auto val="1"/>
        <c:lblAlgn val="ctr"/>
        <c:lblOffset val="100"/>
        <c:noMultiLvlLbl val="0"/>
      </c:catAx>
      <c:valAx>
        <c:axId val="86288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55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og.xlsx]PIVIOT!PivotTable29</c:name>
    <c:fmtId val="6"/>
  </c:pivotSource>
  <c:chart>
    <c:title>
      <c:tx>
        <c:rich>
          <a:bodyPr rot="0" spcFirstLastPara="1" vertOverflow="ellipsis" vert="horz" wrap="square" anchor="ctr" anchorCtr="1"/>
          <a:lstStyle/>
          <a:p>
            <a:pPr algn="ctr" rtl="0">
              <a:defRPr lang="en-US" sz="1800" b="1" i="0" u="none" strike="noStrike" kern="1200" cap="all" spc="50" baseline="0">
                <a:solidFill>
                  <a:sysClr val="windowText" lastClr="000000">
                    <a:lumMod val="65000"/>
                    <a:lumOff val="35000"/>
                  </a:sysClr>
                </a:solidFill>
                <a:latin typeface="Algerian" panose="04020705040A02060702" pitchFamily="82" charset="0"/>
                <a:ea typeface="+mn-ea"/>
                <a:cs typeface="+mn-cs"/>
              </a:defRPr>
            </a:pPr>
            <a:r>
              <a:rPr lang="en-US" sz="1800" b="1" i="0" u="none" strike="noStrike" kern="1200" cap="all" spc="50" baseline="0">
                <a:solidFill>
                  <a:sysClr val="windowText" lastClr="000000">
                    <a:lumMod val="65000"/>
                    <a:lumOff val="35000"/>
                  </a:sysClr>
                </a:solidFill>
                <a:latin typeface="Algerian" panose="04020705040A02060702" pitchFamily="82" charset="0"/>
              </a:rPr>
              <a:t>MONTHLY BILLING REVENUE</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
        <c:idx val="3"/>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1.9165417291354323E-2"/>
          <c:y val="0.15319444444444447"/>
          <c:w val="0.93888888888888888"/>
          <c:h val="0.6435808544765238"/>
        </c:manualLayout>
      </c:layout>
      <c:lineChart>
        <c:grouping val="standard"/>
        <c:varyColors val="0"/>
        <c:ser>
          <c:idx val="0"/>
          <c:order val="0"/>
          <c:tx>
            <c:strRef>
              <c:f>PIVIOT!$C$59</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PIVIOT!$B$60:$B$72</c:f>
              <c:strCache>
                <c:ptCount val="12"/>
                <c:pt idx="0">
                  <c:v>April-2023</c:v>
                </c:pt>
                <c:pt idx="1">
                  <c:v>August-2023</c:v>
                </c:pt>
                <c:pt idx="2">
                  <c:v>December-2023</c:v>
                </c:pt>
                <c:pt idx="3">
                  <c:v>February-2023</c:v>
                </c:pt>
                <c:pt idx="4">
                  <c:v>January-2023</c:v>
                </c:pt>
                <c:pt idx="5">
                  <c:v>July-2023</c:v>
                </c:pt>
                <c:pt idx="6">
                  <c:v>June-2023</c:v>
                </c:pt>
                <c:pt idx="7">
                  <c:v>March-2023</c:v>
                </c:pt>
                <c:pt idx="8">
                  <c:v>May-2023</c:v>
                </c:pt>
                <c:pt idx="9">
                  <c:v>November-2023</c:v>
                </c:pt>
                <c:pt idx="10">
                  <c:v>October-2023</c:v>
                </c:pt>
                <c:pt idx="11">
                  <c:v>September-2023</c:v>
                </c:pt>
              </c:strCache>
            </c:strRef>
          </c:cat>
          <c:val>
            <c:numRef>
              <c:f>PIVIOT!$C$60:$C$72</c:f>
              <c:numCache>
                <c:formatCode>General</c:formatCode>
                <c:ptCount val="12"/>
                <c:pt idx="0">
                  <c:v>64271.54</c:v>
                </c:pt>
                <c:pt idx="1">
                  <c:v>41958.67</c:v>
                </c:pt>
                <c:pt idx="2">
                  <c:v>27569.71</c:v>
                </c:pt>
                <c:pt idx="3">
                  <c:v>36669.69</c:v>
                </c:pt>
                <c:pt idx="4">
                  <c:v>58701.23</c:v>
                </c:pt>
                <c:pt idx="5">
                  <c:v>39880.19</c:v>
                </c:pt>
                <c:pt idx="6">
                  <c:v>56887.82</c:v>
                </c:pt>
                <c:pt idx="7">
                  <c:v>47304.29</c:v>
                </c:pt>
                <c:pt idx="8">
                  <c:v>48791.05</c:v>
                </c:pt>
                <c:pt idx="9">
                  <c:v>52474.98</c:v>
                </c:pt>
                <c:pt idx="10">
                  <c:v>43314.15</c:v>
                </c:pt>
                <c:pt idx="11">
                  <c:v>33426.53</c:v>
                </c:pt>
              </c:numCache>
            </c:numRef>
          </c:val>
          <c:smooth val="0"/>
          <c:extLst>
            <c:ext xmlns:c16="http://schemas.microsoft.com/office/drawing/2014/chart" uri="{C3380CC4-5D6E-409C-BE32-E72D297353CC}">
              <c16:uniqueId val="{00000003-9D76-4A99-BF9A-AC16D050782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85021007"/>
        <c:axId val="1694422671"/>
      </c:lineChart>
      <c:catAx>
        <c:axId val="1685021007"/>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94422671"/>
        <c:crosses val="autoZero"/>
        <c:auto val="1"/>
        <c:lblAlgn val="ctr"/>
        <c:lblOffset val="100"/>
        <c:noMultiLvlLbl val="0"/>
      </c:catAx>
      <c:valAx>
        <c:axId val="1694422671"/>
        <c:scaling>
          <c:orientation val="minMax"/>
        </c:scaling>
        <c:delete val="1"/>
        <c:axPos val="l"/>
        <c:numFmt formatCode="General" sourceLinked="1"/>
        <c:majorTickMark val="out"/>
        <c:minorTickMark val="none"/>
        <c:tickLblPos val="nextTo"/>
        <c:crossAx val="168502100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og.xlsx]PIVIOT!PivotTable30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Algerian" panose="04020705040A02060702" pitchFamily="82" charset="0"/>
              </a:rPr>
              <a:t>REVENUE BY DOCTOR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PIVIOT!$C$78</c:f>
              <c:strCache>
                <c:ptCount val="1"/>
                <c:pt idx="0">
                  <c:v>Total</c:v>
                </c:pt>
              </c:strCache>
            </c:strRef>
          </c:tx>
          <c:spPr>
            <a:solidFill>
              <a:schemeClr val="accent1"/>
            </a:solidFill>
            <a:ln>
              <a:noFill/>
            </a:ln>
            <a:effectLst/>
          </c:spPr>
          <c:invertIfNegative val="0"/>
          <c:cat>
            <c:strRef>
              <c:f>PIVIOT!$B$79:$B$89</c:f>
              <c:strCache>
                <c:ptCount val="10"/>
                <c:pt idx="0">
                  <c:v>Alex Davis</c:v>
                </c:pt>
                <c:pt idx="1">
                  <c:v>David Jones</c:v>
                </c:pt>
                <c:pt idx="2">
                  <c:v>David Taylor</c:v>
                </c:pt>
                <c:pt idx="3">
                  <c:v>Jane Davis</c:v>
                </c:pt>
                <c:pt idx="4">
                  <c:v>Jane Smith</c:v>
                </c:pt>
                <c:pt idx="5">
                  <c:v>Linda Brown</c:v>
                </c:pt>
                <c:pt idx="6">
                  <c:v>Linda Wilson</c:v>
                </c:pt>
                <c:pt idx="7">
                  <c:v>Robert Davis</c:v>
                </c:pt>
                <c:pt idx="8">
                  <c:v>Sarah Smith</c:v>
                </c:pt>
                <c:pt idx="9">
                  <c:v>Sarah Taylor</c:v>
                </c:pt>
              </c:strCache>
            </c:strRef>
          </c:cat>
          <c:val>
            <c:numRef>
              <c:f>PIVIOT!$C$79:$C$89</c:f>
              <c:numCache>
                <c:formatCode>General</c:formatCode>
                <c:ptCount val="10"/>
                <c:pt idx="0">
                  <c:v>87705.86</c:v>
                </c:pt>
                <c:pt idx="1">
                  <c:v>56940.01</c:v>
                </c:pt>
                <c:pt idx="2">
                  <c:v>15623.46</c:v>
                </c:pt>
                <c:pt idx="3">
                  <c:v>59092.35</c:v>
                </c:pt>
                <c:pt idx="4">
                  <c:v>95000.59</c:v>
                </c:pt>
                <c:pt idx="5">
                  <c:v>32862.14</c:v>
                </c:pt>
                <c:pt idx="6">
                  <c:v>75083.88</c:v>
                </c:pt>
                <c:pt idx="7">
                  <c:v>39147.94</c:v>
                </c:pt>
                <c:pt idx="8">
                  <c:v>66305.42</c:v>
                </c:pt>
                <c:pt idx="9">
                  <c:v>23488.2</c:v>
                </c:pt>
              </c:numCache>
            </c:numRef>
          </c:val>
          <c:extLst>
            <c:ext xmlns:c16="http://schemas.microsoft.com/office/drawing/2014/chart" uri="{C3380CC4-5D6E-409C-BE32-E72D297353CC}">
              <c16:uniqueId val="{00000000-460B-4C06-8030-541B747502AE}"/>
            </c:ext>
          </c:extLst>
        </c:ser>
        <c:dLbls>
          <c:showLegendKey val="0"/>
          <c:showVal val="0"/>
          <c:showCatName val="0"/>
          <c:showSerName val="0"/>
          <c:showPercent val="0"/>
          <c:showBubbleSize val="0"/>
        </c:dLbls>
        <c:gapWidth val="182"/>
        <c:axId val="1303412624"/>
        <c:axId val="1202102448"/>
      </c:barChart>
      <c:catAx>
        <c:axId val="130341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102448"/>
        <c:crosses val="autoZero"/>
        <c:auto val="1"/>
        <c:lblAlgn val="ctr"/>
        <c:lblOffset val="100"/>
        <c:noMultiLvlLbl val="0"/>
      </c:catAx>
      <c:valAx>
        <c:axId val="1202102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1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og.xlsx]PIVIOT!PivotTable26</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Algerian" panose="04020705040A02060702" pitchFamily="82" charset="0"/>
              </a:rPr>
              <a:t>APPOINTMENTS BY DOCTOR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PIVIOT!$C$3</c:f>
              <c:strCache>
                <c:ptCount val="1"/>
                <c:pt idx="0">
                  <c:v>Total</c:v>
                </c:pt>
              </c:strCache>
            </c:strRef>
          </c:tx>
          <c:spPr>
            <a:solidFill>
              <a:schemeClr val="accent1"/>
            </a:solidFill>
            <a:ln>
              <a:noFill/>
            </a:ln>
            <a:effectLst/>
          </c:spPr>
          <c:invertIfNegative val="0"/>
          <c:cat>
            <c:strRef>
              <c:f>PIVIOT!$B$4:$B$14</c:f>
              <c:strCache>
                <c:ptCount val="10"/>
                <c:pt idx="0">
                  <c:v>Alex Davis</c:v>
                </c:pt>
                <c:pt idx="1">
                  <c:v>David Jones</c:v>
                </c:pt>
                <c:pt idx="2">
                  <c:v>David Taylor</c:v>
                </c:pt>
                <c:pt idx="3">
                  <c:v>Jane Davis</c:v>
                </c:pt>
                <c:pt idx="4">
                  <c:v>Jane Smith</c:v>
                </c:pt>
                <c:pt idx="5">
                  <c:v>Linda Brown</c:v>
                </c:pt>
                <c:pt idx="6">
                  <c:v>Linda Wilson</c:v>
                </c:pt>
                <c:pt idx="7">
                  <c:v>Robert Davis</c:v>
                </c:pt>
                <c:pt idx="8">
                  <c:v>Sarah Smith</c:v>
                </c:pt>
                <c:pt idx="9">
                  <c:v>Sarah Taylor</c:v>
                </c:pt>
              </c:strCache>
            </c:strRef>
          </c:cat>
          <c:val>
            <c:numRef>
              <c:f>PIVIOT!$C$4:$C$14</c:f>
              <c:numCache>
                <c:formatCode>General</c:formatCode>
                <c:ptCount val="10"/>
                <c:pt idx="0">
                  <c:v>24</c:v>
                </c:pt>
                <c:pt idx="1">
                  <c:v>14</c:v>
                </c:pt>
                <c:pt idx="2">
                  <c:v>25</c:v>
                </c:pt>
                <c:pt idx="3">
                  <c:v>21</c:v>
                </c:pt>
                <c:pt idx="4">
                  <c:v>22</c:v>
                </c:pt>
                <c:pt idx="5">
                  <c:v>16</c:v>
                </c:pt>
                <c:pt idx="6">
                  <c:v>19</c:v>
                </c:pt>
                <c:pt idx="7">
                  <c:v>13</c:v>
                </c:pt>
                <c:pt idx="8">
                  <c:v>17</c:v>
                </c:pt>
                <c:pt idx="9">
                  <c:v>29</c:v>
                </c:pt>
              </c:numCache>
            </c:numRef>
          </c:val>
          <c:extLst>
            <c:ext xmlns:c16="http://schemas.microsoft.com/office/drawing/2014/chart" uri="{C3380CC4-5D6E-409C-BE32-E72D297353CC}">
              <c16:uniqueId val="{00000000-637C-424C-B933-FF7A421C4BE6}"/>
            </c:ext>
          </c:extLst>
        </c:ser>
        <c:dLbls>
          <c:showLegendKey val="0"/>
          <c:showVal val="0"/>
          <c:showCatName val="0"/>
          <c:showSerName val="0"/>
          <c:showPercent val="0"/>
          <c:showBubbleSize val="0"/>
        </c:dLbls>
        <c:gapWidth val="219"/>
        <c:overlap val="-27"/>
        <c:axId val="1303626064"/>
        <c:axId val="1907045808"/>
      </c:barChart>
      <c:catAx>
        <c:axId val="130362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45808"/>
        <c:crosses val="autoZero"/>
        <c:auto val="1"/>
        <c:lblAlgn val="ctr"/>
        <c:lblOffset val="100"/>
        <c:noMultiLvlLbl val="0"/>
      </c:catAx>
      <c:valAx>
        <c:axId val="190704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62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og.xlsx]PIVIOT!PivotTable27</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Algerian" panose="04020705040A02060702" pitchFamily="82" charset="0"/>
              </a:rPr>
              <a:t>REASONS FOR PATIENT VISITS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PIVIOT!$C$26</c:f>
              <c:strCache>
                <c:ptCount val="1"/>
                <c:pt idx="0">
                  <c:v>Total</c:v>
                </c:pt>
              </c:strCache>
            </c:strRef>
          </c:tx>
          <c:spPr>
            <a:solidFill>
              <a:schemeClr val="accent1"/>
            </a:solidFill>
            <a:ln>
              <a:noFill/>
            </a:ln>
            <a:effectLst/>
          </c:spPr>
          <c:invertIfNegative val="0"/>
          <c:cat>
            <c:strRef>
              <c:f>PIVIOT!$B$27:$B$32</c:f>
              <c:strCache>
                <c:ptCount val="5"/>
                <c:pt idx="0">
                  <c:v>Therapy</c:v>
                </c:pt>
                <c:pt idx="1">
                  <c:v>Checkup</c:v>
                </c:pt>
                <c:pt idx="2">
                  <c:v>Consultation</c:v>
                </c:pt>
                <c:pt idx="3">
                  <c:v>Follow-up</c:v>
                </c:pt>
                <c:pt idx="4">
                  <c:v>Emergency</c:v>
                </c:pt>
              </c:strCache>
            </c:strRef>
          </c:cat>
          <c:val>
            <c:numRef>
              <c:f>PIVIOT!$C$27:$C$32</c:f>
              <c:numCache>
                <c:formatCode>General</c:formatCode>
                <c:ptCount val="5"/>
                <c:pt idx="0">
                  <c:v>42</c:v>
                </c:pt>
                <c:pt idx="1">
                  <c:v>45</c:v>
                </c:pt>
                <c:pt idx="2">
                  <c:v>43</c:v>
                </c:pt>
                <c:pt idx="3">
                  <c:v>41</c:v>
                </c:pt>
                <c:pt idx="4">
                  <c:v>29</c:v>
                </c:pt>
              </c:numCache>
            </c:numRef>
          </c:val>
          <c:extLst>
            <c:ext xmlns:c16="http://schemas.microsoft.com/office/drawing/2014/chart" uri="{C3380CC4-5D6E-409C-BE32-E72D297353CC}">
              <c16:uniqueId val="{00000000-D275-4EE8-BA25-1943F4D09591}"/>
            </c:ext>
          </c:extLst>
        </c:ser>
        <c:dLbls>
          <c:showLegendKey val="0"/>
          <c:showVal val="0"/>
          <c:showCatName val="0"/>
          <c:showSerName val="0"/>
          <c:showPercent val="0"/>
          <c:showBubbleSize val="0"/>
        </c:dLbls>
        <c:gapWidth val="219"/>
        <c:overlap val="-27"/>
        <c:axId val="1303594976"/>
        <c:axId val="2064255920"/>
      </c:barChart>
      <c:catAx>
        <c:axId val="13035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255920"/>
        <c:crosses val="autoZero"/>
        <c:auto val="1"/>
        <c:lblAlgn val="ctr"/>
        <c:lblOffset val="100"/>
        <c:noMultiLvlLbl val="0"/>
      </c:catAx>
      <c:valAx>
        <c:axId val="206425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59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og.xlsx]PIVIOT!PivotTable28</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Algerian" panose="04020705040A02060702" pitchFamily="82" charset="0"/>
              </a:rPr>
              <a:t>REVENUE BY TREATMENT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PIVIOT!$C$40</c:f>
              <c:strCache>
                <c:ptCount val="1"/>
                <c:pt idx="0">
                  <c:v>Total</c:v>
                </c:pt>
              </c:strCache>
            </c:strRef>
          </c:tx>
          <c:spPr>
            <a:solidFill>
              <a:schemeClr val="accent1"/>
            </a:solidFill>
            <a:ln>
              <a:noFill/>
            </a:ln>
            <a:effectLst/>
          </c:spPr>
          <c:invertIfNegative val="0"/>
          <c:cat>
            <c:strRef>
              <c:f>PIVIOT!$B$41:$B$46</c:f>
              <c:strCache>
                <c:ptCount val="5"/>
                <c:pt idx="0">
                  <c:v>Chemotherapy</c:v>
                </c:pt>
                <c:pt idx="1">
                  <c:v>ECG</c:v>
                </c:pt>
                <c:pt idx="2">
                  <c:v>MRI</c:v>
                </c:pt>
                <c:pt idx="3">
                  <c:v>Physiotherapy</c:v>
                </c:pt>
                <c:pt idx="4">
                  <c:v>X-Ray</c:v>
                </c:pt>
              </c:strCache>
            </c:strRef>
          </c:cat>
          <c:val>
            <c:numRef>
              <c:f>PIVIOT!$C$41:$C$46</c:f>
              <c:numCache>
                <c:formatCode>General</c:formatCode>
                <c:ptCount val="5"/>
                <c:pt idx="0">
                  <c:v>128855.67999999999</c:v>
                </c:pt>
                <c:pt idx="1">
                  <c:v>96224.24</c:v>
                </c:pt>
                <c:pt idx="2">
                  <c:v>116098.16</c:v>
                </c:pt>
                <c:pt idx="3">
                  <c:v>99418.1</c:v>
                </c:pt>
                <c:pt idx="4">
                  <c:v>110653.67</c:v>
                </c:pt>
              </c:numCache>
            </c:numRef>
          </c:val>
          <c:extLst>
            <c:ext xmlns:c16="http://schemas.microsoft.com/office/drawing/2014/chart" uri="{C3380CC4-5D6E-409C-BE32-E72D297353CC}">
              <c16:uniqueId val="{00000000-11AE-44B3-BBE3-9C8D9D03F8DD}"/>
            </c:ext>
          </c:extLst>
        </c:ser>
        <c:dLbls>
          <c:showLegendKey val="0"/>
          <c:showVal val="0"/>
          <c:showCatName val="0"/>
          <c:showSerName val="0"/>
          <c:showPercent val="0"/>
          <c:showBubbleSize val="0"/>
        </c:dLbls>
        <c:gapWidth val="219"/>
        <c:overlap val="-27"/>
        <c:axId val="1303556464"/>
        <c:axId val="862882735"/>
      </c:barChart>
      <c:catAx>
        <c:axId val="130355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82735"/>
        <c:crosses val="autoZero"/>
        <c:auto val="1"/>
        <c:lblAlgn val="ctr"/>
        <c:lblOffset val="100"/>
        <c:noMultiLvlLbl val="0"/>
      </c:catAx>
      <c:valAx>
        <c:axId val="86288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55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og.xlsx]PIVIOT!PivotTable29</c:name>
    <c:fmtId val="13"/>
  </c:pivotSource>
  <c:chart>
    <c:title>
      <c:tx>
        <c:rich>
          <a:bodyPr rot="0" spcFirstLastPara="1" vertOverflow="ellipsis" vert="horz" wrap="square" anchor="ctr" anchorCtr="1"/>
          <a:lstStyle/>
          <a:p>
            <a:pPr algn="ctr" rtl="0">
              <a:defRPr lang="en-US" sz="1800" b="1" i="0" u="none" strike="noStrike" kern="1200" cap="all" spc="50" baseline="0">
                <a:solidFill>
                  <a:sysClr val="windowText" lastClr="000000">
                    <a:lumMod val="65000"/>
                    <a:lumOff val="35000"/>
                  </a:sysClr>
                </a:solidFill>
                <a:latin typeface="Algerian" panose="04020705040A02060702" pitchFamily="82" charset="0"/>
                <a:ea typeface="+mn-ea"/>
                <a:cs typeface="+mn-cs"/>
              </a:defRPr>
            </a:pPr>
            <a:r>
              <a:rPr lang="en-US" sz="1800" b="1" i="0" u="none" strike="noStrike" kern="1200" cap="all" spc="50" baseline="0">
                <a:solidFill>
                  <a:sysClr val="windowText" lastClr="000000">
                    <a:lumMod val="65000"/>
                    <a:lumOff val="35000"/>
                  </a:sysClr>
                </a:solidFill>
                <a:latin typeface="Algerian" panose="04020705040A02060702" pitchFamily="82" charset="0"/>
              </a:rPr>
              <a:t>MONTHLY BILLING REVENUE</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
        <c:idx val="3"/>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
        <c:idx val="4"/>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
        <c:idx val="5"/>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1.9165417291354323E-2"/>
          <c:y val="0.15319444444444447"/>
          <c:w val="0.93888888888888888"/>
          <c:h val="0.6435808544765238"/>
        </c:manualLayout>
      </c:layout>
      <c:lineChart>
        <c:grouping val="standard"/>
        <c:varyColors val="0"/>
        <c:ser>
          <c:idx val="0"/>
          <c:order val="0"/>
          <c:tx>
            <c:strRef>
              <c:f>PIVIOT!$C$59</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PIVIOT!$B$60:$B$72</c:f>
              <c:strCache>
                <c:ptCount val="12"/>
                <c:pt idx="0">
                  <c:v>April-2023</c:v>
                </c:pt>
                <c:pt idx="1">
                  <c:v>August-2023</c:v>
                </c:pt>
                <c:pt idx="2">
                  <c:v>December-2023</c:v>
                </c:pt>
                <c:pt idx="3">
                  <c:v>February-2023</c:v>
                </c:pt>
                <c:pt idx="4">
                  <c:v>January-2023</c:v>
                </c:pt>
                <c:pt idx="5">
                  <c:v>July-2023</c:v>
                </c:pt>
                <c:pt idx="6">
                  <c:v>June-2023</c:v>
                </c:pt>
                <c:pt idx="7">
                  <c:v>March-2023</c:v>
                </c:pt>
                <c:pt idx="8">
                  <c:v>May-2023</c:v>
                </c:pt>
                <c:pt idx="9">
                  <c:v>November-2023</c:v>
                </c:pt>
                <c:pt idx="10">
                  <c:v>October-2023</c:v>
                </c:pt>
                <c:pt idx="11">
                  <c:v>September-2023</c:v>
                </c:pt>
              </c:strCache>
            </c:strRef>
          </c:cat>
          <c:val>
            <c:numRef>
              <c:f>PIVIOT!$C$60:$C$72</c:f>
              <c:numCache>
                <c:formatCode>General</c:formatCode>
                <c:ptCount val="12"/>
                <c:pt idx="0">
                  <c:v>64271.54</c:v>
                </c:pt>
                <c:pt idx="1">
                  <c:v>41958.67</c:v>
                </c:pt>
                <c:pt idx="2">
                  <c:v>27569.71</c:v>
                </c:pt>
                <c:pt idx="3">
                  <c:v>36669.69</c:v>
                </c:pt>
                <c:pt idx="4">
                  <c:v>58701.23</c:v>
                </c:pt>
                <c:pt idx="5">
                  <c:v>39880.19</c:v>
                </c:pt>
                <c:pt idx="6">
                  <c:v>56887.82</c:v>
                </c:pt>
                <c:pt idx="7">
                  <c:v>47304.29</c:v>
                </c:pt>
                <c:pt idx="8">
                  <c:v>48791.05</c:v>
                </c:pt>
                <c:pt idx="9">
                  <c:v>52474.98</c:v>
                </c:pt>
                <c:pt idx="10">
                  <c:v>43314.15</c:v>
                </c:pt>
                <c:pt idx="11">
                  <c:v>33426.53</c:v>
                </c:pt>
              </c:numCache>
            </c:numRef>
          </c:val>
          <c:smooth val="0"/>
          <c:extLst>
            <c:ext xmlns:c16="http://schemas.microsoft.com/office/drawing/2014/chart" uri="{C3380CC4-5D6E-409C-BE32-E72D297353CC}">
              <c16:uniqueId val="{00000000-2038-4624-8DE6-29C7E27DC73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85021007"/>
        <c:axId val="1694422671"/>
      </c:lineChart>
      <c:catAx>
        <c:axId val="1685021007"/>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94422671"/>
        <c:crosses val="autoZero"/>
        <c:auto val="1"/>
        <c:lblAlgn val="ctr"/>
        <c:lblOffset val="100"/>
        <c:noMultiLvlLbl val="0"/>
      </c:catAx>
      <c:valAx>
        <c:axId val="1694422671"/>
        <c:scaling>
          <c:orientation val="minMax"/>
        </c:scaling>
        <c:delete val="1"/>
        <c:axPos val="l"/>
        <c:numFmt formatCode="General" sourceLinked="1"/>
        <c:majorTickMark val="out"/>
        <c:minorTickMark val="none"/>
        <c:tickLblPos val="nextTo"/>
        <c:crossAx val="168502100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og.xlsx]PIVIOT!PivotTable30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Algerian" panose="04020705040A02060702" pitchFamily="82" charset="0"/>
              </a:rPr>
              <a:t>REVENUE BY DOCTOR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PIVIOT!$C$78</c:f>
              <c:strCache>
                <c:ptCount val="1"/>
                <c:pt idx="0">
                  <c:v>Total</c:v>
                </c:pt>
              </c:strCache>
            </c:strRef>
          </c:tx>
          <c:spPr>
            <a:solidFill>
              <a:schemeClr val="accent1"/>
            </a:solidFill>
            <a:ln>
              <a:noFill/>
            </a:ln>
            <a:effectLst/>
          </c:spPr>
          <c:invertIfNegative val="0"/>
          <c:cat>
            <c:strRef>
              <c:f>PIVIOT!$B$79:$B$89</c:f>
              <c:strCache>
                <c:ptCount val="10"/>
                <c:pt idx="0">
                  <c:v>Alex Davis</c:v>
                </c:pt>
                <c:pt idx="1">
                  <c:v>David Jones</c:v>
                </c:pt>
                <c:pt idx="2">
                  <c:v>David Taylor</c:v>
                </c:pt>
                <c:pt idx="3">
                  <c:v>Jane Davis</c:v>
                </c:pt>
                <c:pt idx="4">
                  <c:v>Jane Smith</c:v>
                </c:pt>
                <c:pt idx="5">
                  <c:v>Linda Brown</c:v>
                </c:pt>
                <c:pt idx="6">
                  <c:v>Linda Wilson</c:v>
                </c:pt>
                <c:pt idx="7">
                  <c:v>Robert Davis</c:v>
                </c:pt>
                <c:pt idx="8">
                  <c:v>Sarah Smith</c:v>
                </c:pt>
                <c:pt idx="9">
                  <c:v>Sarah Taylor</c:v>
                </c:pt>
              </c:strCache>
            </c:strRef>
          </c:cat>
          <c:val>
            <c:numRef>
              <c:f>PIVIOT!$C$79:$C$89</c:f>
              <c:numCache>
                <c:formatCode>General</c:formatCode>
                <c:ptCount val="10"/>
                <c:pt idx="0">
                  <c:v>87705.86</c:v>
                </c:pt>
                <c:pt idx="1">
                  <c:v>56940.01</c:v>
                </c:pt>
                <c:pt idx="2">
                  <c:v>15623.46</c:v>
                </c:pt>
                <c:pt idx="3">
                  <c:v>59092.35</c:v>
                </c:pt>
                <c:pt idx="4">
                  <c:v>95000.59</c:v>
                </c:pt>
                <c:pt idx="5">
                  <c:v>32862.14</c:v>
                </c:pt>
                <c:pt idx="6">
                  <c:v>75083.88</c:v>
                </c:pt>
                <c:pt idx="7">
                  <c:v>39147.94</c:v>
                </c:pt>
                <c:pt idx="8">
                  <c:v>66305.42</c:v>
                </c:pt>
                <c:pt idx="9">
                  <c:v>23488.2</c:v>
                </c:pt>
              </c:numCache>
            </c:numRef>
          </c:val>
          <c:extLst>
            <c:ext xmlns:c16="http://schemas.microsoft.com/office/drawing/2014/chart" uri="{C3380CC4-5D6E-409C-BE32-E72D297353CC}">
              <c16:uniqueId val="{00000000-CB27-4EFA-9D6C-838BAB5F8CBF}"/>
            </c:ext>
          </c:extLst>
        </c:ser>
        <c:dLbls>
          <c:showLegendKey val="0"/>
          <c:showVal val="0"/>
          <c:showCatName val="0"/>
          <c:showSerName val="0"/>
          <c:showPercent val="0"/>
          <c:showBubbleSize val="0"/>
        </c:dLbls>
        <c:gapWidth val="182"/>
        <c:axId val="1303412624"/>
        <c:axId val="1202102448"/>
      </c:barChart>
      <c:catAx>
        <c:axId val="130341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102448"/>
        <c:crosses val="autoZero"/>
        <c:auto val="1"/>
        <c:lblAlgn val="ctr"/>
        <c:lblOffset val="100"/>
        <c:noMultiLvlLbl val="0"/>
      </c:catAx>
      <c:valAx>
        <c:axId val="1202102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1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og.xlsx]PIVIOT!PivotTable26</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US" sz="1800" b="1" i="0" u="none" strike="noStrike" kern="1200" cap="all" spc="50" baseline="0">
                <a:solidFill>
                  <a:sysClr val="windowText" lastClr="000000">
                    <a:lumMod val="65000"/>
                    <a:lumOff val="35000"/>
                  </a:sysClr>
                </a:solidFill>
                <a:latin typeface="Algerian" panose="04020705040A02060702" pitchFamily="82" charset="0"/>
              </a:rPr>
              <a:t>APPOINTMENTS BY DOCTOR </a:t>
            </a:r>
          </a:p>
          <a:p>
            <a:pPr marL="0" marR="0" lvl="0" indent="0" algn="ctr" defTabSz="914400" rtl="0" eaLnBrk="1" fontAlgn="auto" latinLnBrk="0" hangingPunct="1">
              <a:lnSpc>
                <a:spcPct val="100000"/>
              </a:lnSpc>
              <a:spcBef>
                <a:spcPts val="0"/>
              </a:spcBef>
              <a:spcAft>
                <a:spcPts val="0"/>
              </a:spcAft>
              <a:buClrTx/>
              <a:buSzTx/>
              <a:buFontTx/>
              <a:buNone/>
              <a:tabLst/>
              <a:defRPr sz="1800">
                <a:solidFill>
                  <a:sysClr val="windowText" lastClr="000000">
                    <a:lumMod val="65000"/>
                    <a:lumOff val="35000"/>
                  </a:sysClr>
                </a:solidFill>
              </a:defRPr>
            </a:pPr>
            <a:endParaRPr lang="en-US" sz="18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PIVIOT!$C$3</c:f>
              <c:strCache>
                <c:ptCount val="1"/>
                <c:pt idx="0">
                  <c:v>Total</c:v>
                </c:pt>
              </c:strCache>
            </c:strRef>
          </c:tx>
          <c:spPr>
            <a:solidFill>
              <a:schemeClr val="accent6"/>
            </a:solidFill>
            <a:ln>
              <a:noFill/>
            </a:ln>
            <a:effectLst/>
          </c:spPr>
          <c:invertIfNegative val="0"/>
          <c:cat>
            <c:strRef>
              <c:f>PIVIOT!$B$4:$B$14</c:f>
              <c:strCache>
                <c:ptCount val="10"/>
                <c:pt idx="0">
                  <c:v>Alex Davis</c:v>
                </c:pt>
                <c:pt idx="1">
                  <c:v>David Jones</c:v>
                </c:pt>
                <c:pt idx="2">
                  <c:v>David Taylor</c:v>
                </c:pt>
                <c:pt idx="3">
                  <c:v>Jane Davis</c:v>
                </c:pt>
                <c:pt idx="4">
                  <c:v>Jane Smith</c:v>
                </c:pt>
                <c:pt idx="5">
                  <c:v>Linda Brown</c:v>
                </c:pt>
                <c:pt idx="6">
                  <c:v>Linda Wilson</c:v>
                </c:pt>
                <c:pt idx="7">
                  <c:v>Robert Davis</c:v>
                </c:pt>
                <c:pt idx="8">
                  <c:v>Sarah Smith</c:v>
                </c:pt>
                <c:pt idx="9">
                  <c:v>Sarah Taylor</c:v>
                </c:pt>
              </c:strCache>
            </c:strRef>
          </c:cat>
          <c:val>
            <c:numRef>
              <c:f>PIVIOT!$C$4:$C$14</c:f>
              <c:numCache>
                <c:formatCode>General</c:formatCode>
                <c:ptCount val="10"/>
                <c:pt idx="0">
                  <c:v>24</c:v>
                </c:pt>
                <c:pt idx="1">
                  <c:v>14</c:v>
                </c:pt>
                <c:pt idx="2">
                  <c:v>25</c:v>
                </c:pt>
                <c:pt idx="3">
                  <c:v>21</c:v>
                </c:pt>
                <c:pt idx="4">
                  <c:v>22</c:v>
                </c:pt>
                <c:pt idx="5">
                  <c:v>16</c:v>
                </c:pt>
                <c:pt idx="6">
                  <c:v>19</c:v>
                </c:pt>
                <c:pt idx="7">
                  <c:v>13</c:v>
                </c:pt>
                <c:pt idx="8">
                  <c:v>17</c:v>
                </c:pt>
                <c:pt idx="9">
                  <c:v>29</c:v>
                </c:pt>
              </c:numCache>
            </c:numRef>
          </c:val>
          <c:extLst>
            <c:ext xmlns:c16="http://schemas.microsoft.com/office/drawing/2014/chart" uri="{C3380CC4-5D6E-409C-BE32-E72D297353CC}">
              <c16:uniqueId val="{00000000-1133-4059-9204-15473466CA5C}"/>
            </c:ext>
          </c:extLst>
        </c:ser>
        <c:dLbls>
          <c:showLegendKey val="0"/>
          <c:showVal val="0"/>
          <c:showCatName val="0"/>
          <c:showSerName val="0"/>
          <c:showPercent val="0"/>
          <c:showBubbleSize val="0"/>
        </c:dLbls>
        <c:gapWidth val="219"/>
        <c:axId val="1303626064"/>
        <c:axId val="1907045808"/>
      </c:barChart>
      <c:catAx>
        <c:axId val="13036260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07045808"/>
        <c:crosses val="autoZero"/>
        <c:auto val="1"/>
        <c:lblAlgn val="ctr"/>
        <c:lblOffset val="100"/>
        <c:noMultiLvlLbl val="0"/>
      </c:catAx>
      <c:valAx>
        <c:axId val="1907045808"/>
        <c:scaling>
          <c:orientation val="minMax"/>
        </c:scaling>
        <c:delete val="1"/>
        <c:axPos val="b"/>
        <c:numFmt formatCode="General" sourceLinked="1"/>
        <c:majorTickMark val="out"/>
        <c:minorTickMark val="none"/>
        <c:tickLblPos val="nextTo"/>
        <c:crossAx val="1303626064"/>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og.xlsx]PIVIOT!PivotTable29</c:name>
    <c:fmtId val="9"/>
  </c:pivotSource>
  <c:chart>
    <c:title>
      <c:tx>
        <c:rich>
          <a:bodyPr rot="0" spcFirstLastPara="1" vertOverflow="ellipsis" vert="horz" wrap="square" anchor="ctr" anchorCtr="1"/>
          <a:lstStyle/>
          <a:p>
            <a:pPr algn="ctr" rtl="0">
              <a:defRPr lang="en-US" sz="1800" b="1" i="0" u="none" strike="noStrike" kern="1200" cap="all" spc="50" baseline="0">
                <a:solidFill>
                  <a:sysClr val="windowText" lastClr="000000">
                    <a:lumMod val="65000"/>
                    <a:lumOff val="35000"/>
                  </a:sysClr>
                </a:solidFill>
                <a:latin typeface="Algerian" panose="04020705040A02060702" pitchFamily="82" charset="0"/>
                <a:ea typeface="+mn-ea"/>
                <a:cs typeface="+mn-cs"/>
              </a:defRPr>
            </a:pPr>
            <a:r>
              <a:rPr lang="en-US" sz="1800" b="1" i="0" u="none" strike="noStrike" kern="1200" cap="all" spc="50" baseline="0">
                <a:solidFill>
                  <a:sysClr val="windowText" lastClr="000000">
                    <a:lumMod val="65000"/>
                    <a:lumOff val="35000"/>
                  </a:sysClr>
                </a:solidFill>
                <a:latin typeface="Algerian" panose="04020705040A02060702" pitchFamily="82" charset="0"/>
              </a:rPr>
              <a:t>MONTHLY BILLING REVENUE</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
        <c:idx val="3"/>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
        <c:idx val="4"/>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
        <c:idx val="5"/>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2.3120231076712058E-2"/>
          <c:y val="0.14904259200414272"/>
          <c:w val="0.93888888888888888"/>
          <c:h val="0.6435808544765238"/>
        </c:manualLayout>
      </c:layout>
      <c:lineChart>
        <c:grouping val="standard"/>
        <c:varyColors val="0"/>
        <c:ser>
          <c:idx val="0"/>
          <c:order val="0"/>
          <c:tx>
            <c:strRef>
              <c:f>PIVIOT!$C$59</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PIVIOT!$B$60:$B$72</c:f>
              <c:strCache>
                <c:ptCount val="12"/>
                <c:pt idx="0">
                  <c:v>April-2023</c:v>
                </c:pt>
                <c:pt idx="1">
                  <c:v>August-2023</c:v>
                </c:pt>
                <c:pt idx="2">
                  <c:v>December-2023</c:v>
                </c:pt>
                <c:pt idx="3">
                  <c:v>February-2023</c:v>
                </c:pt>
                <c:pt idx="4">
                  <c:v>January-2023</c:v>
                </c:pt>
                <c:pt idx="5">
                  <c:v>July-2023</c:v>
                </c:pt>
                <c:pt idx="6">
                  <c:v>June-2023</c:v>
                </c:pt>
                <c:pt idx="7">
                  <c:v>March-2023</c:v>
                </c:pt>
                <c:pt idx="8">
                  <c:v>May-2023</c:v>
                </c:pt>
                <c:pt idx="9">
                  <c:v>November-2023</c:v>
                </c:pt>
                <c:pt idx="10">
                  <c:v>October-2023</c:v>
                </c:pt>
                <c:pt idx="11">
                  <c:v>September-2023</c:v>
                </c:pt>
              </c:strCache>
            </c:strRef>
          </c:cat>
          <c:val>
            <c:numRef>
              <c:f>PIVIOT!$C$60:$C$72</c:f>
              <c:numCache>
                <c:formatCode>General</c:formatCode>
                <c:ptCount val="12"/>
                <c:pt idx="0">
                  <c:v>64271.54</c:v>
                </c:pt>
                <c:pt idx="1">
                  <c:v>41958.67</c:v>
                </c:pt>
                <c:pt idx="2">
                  <c:v>27569.71</c:v>
                </c:pt>
                <c:pt idx="3">
                  <c:v>36669.69</c:v>
                </c:pt>
                <c:pt idx="4">
                  <c:v>58701.23</c:v>
                </c:pt>
                <c:pt idx="5">
                  <c:v>39880.19</c:v>
                </c:pt>
                <c:pt idx="6">
                  <c:v>56887.82</c:v>
                </c:pt>
                <c:pt idx="7">
                  <c:v>47304.29</c:v>
                </c:pt>
                <c:pt idx="8">
                  <c:v>48791.05</c:v>
                </c:pt>
                <c:pt idx="9">
                  <c:v>52474.98</c:v>
                </c:pt>
                <c:pt idx="10">
                  <c:v>43314.15</c:v>
                </c:pt>
                <c:pt idx="11">
                  <c:v>33426.53</c:v>
                </c:pt>
              </c:numCache>
            </c:numRef>
          </c:val>
          <c:smooth val="0"/>
          <c:extLst>
            <c:ext xmlns:c16="http://schemas.microsoft.com/office/drawing/2014/chart" uri="{C3380CC4-5D6E-409C-BE32-E72D297353CC}">
              <c16:uniqueId val="{00000000-7C6B-4D21-8C65-F603CFFB482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85021007"/>
        <c:axId val="1694422671"/>
      </c:lineChart>
      <c:catAx>
        <c:axId val="1685021007"/>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94422671"/>
        <c:crosses val="autoZero"/>
        <c:auto val="1"/>
        <c:lblAlgn val="ctr"/>
        <c:lblOffset val="100"/>
        <c:noMultiLvlLbl val="0"/>
      </c:catAx>
      <c:valAx>
        <c:axId val="1694422671"/>
        <c:scaling>
          <c:orientation val="minMax"/>
        </c:scaling>
        <c:delete val="1"/>
        <c:axPos val="l"/>
        <c:numFmt formatCode="General" sourceLinked="1"/>
        <c:majorTickMark val="out"/>
        <c:minorTickMark val="none"/>
        <c:tickLblPos val="nextTo"/>
        <c:crossAx val="1685021007"/>
        <c:crosses val="autoZero"/>
        <c:crossBetween val="between"/>
      </c:valAx>
      <c:spPr>
        <a:solidFill>
          <a:schemeClr val="accent6">
            <a:lumMod val="20000"/>
            <a:lumOff val="80000"/>
          </a:schemeClr>
        </a:solidFill>
        <a:ln>
          <a:noFill/>
        </a:ln>
        <a:effectLst/>
      </c:spPr>
    </c:plotArea>
    <c:plotVisOnly val="1"/>
    <c:dispBlanksAs val="gap"/>
    <c:showDLblsOverMax val="0"/>
    <c:extLst/>
  </c:chart>
  <c:spPr>
    <a:solidFill>
      <a:schemeClr val="accent6">
        <a:lumMod val="60000"/>
        <a:lumOff val="40000"/>
      </a:schemeClr>
    </a:solidFill>
    <a:effectLst>
      <a:innerShdw blurRad="114300">
        <a:prstClr val="black"/>
      </a:innerShdw>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og.xlsx]PIVIOT!PivotTable27</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cap="all" spc="50" baseline="0">
                <a:solidFill>
                  <a:sysClr val="windowText" lastClr="000000">
                    <a:lumMod val="65000"/>
                    <a:lumOff val="35000"/>
                  </a:sysClr>
                </a:solidFill>
                <a:latin typeface="Algerian" panose="04020705040A02060702" pitchFamily="82" charset="0"/>
                <a:ea typeface="+mn-ea"/>
                <a:cs typeface="+mn-cs"/>
              </a:defRPr>
            </a:pPr>
            <a:r>
              <a:rPr lang="en-US" sz="2400" b="1" i="0" u="none" strike="noStrike" kern="1200" cap="all" spc="50" baseline="0">
                <a:solidFill>
                  <a:sysClr val="windowText" lastClr="000000">
                    <a:lumMod val="65000"/>
                    <a:lumOff val="35000"/>
                  </a:sysClr>
                </a:solidFill>
                <a:latin typeface="Algerian" panose="04020705040A02060702" pitchFamily="82" charset="0"/>
                <a:ea typeface="+mn-ea"/>
                <a:cs typeface="+mn-cs"/>
              </a:rPr>
              <a:t>REASONS FOR PATIENT VISITS</a:t>
            </a:r>
          </a:p>
          <a:p>
            <a:pPr marL="0" marR="0" lvl="0" indent="0" algn="ctr" defTabSz="914400" rtl="0" eaLnBrk="1" fontAlgn="auto" latinLnBrk="0" hangingPunct="1">
              <a:lnSpc>
                <a:spcPct val="100000"/>
              </a:lnSpc>
              <a:spcBef>
                <a:spcPts val="0"/>
              </a:spcBef>
              <a:spcAft>
                <a:spcPts val="0"/>
              </a:spcAft>
              <a:buClrTx/>
              <a:buSzTx/>
              <a:buFontTx/>
              <a:buNone/>
              <a:tabLst/>
              <a:defRPr lang="en-US" sz="2400">
                <a:solidFill>
                  <a:sysClr val="windowText" lastClr="000000">
                    <a:lumMod val="65000"/>
                    <a:lumOff val="35000"/>
                  </a:sysClr>
                </a:solidFill>
                <a:latin typeface="Algerian" panose="04020705040A02060702" pitchFamily="82" charset="0"/>
              </a:defRPr>
            </a:pPr>
            <a:endParaRPr lang="en-US" sz="2400" b="1" i="0" u="none" strike="noStrike" kern="1200" cap="all" spc="50" baseline="0">
              <a:solidFill>
                <a:sysClr val="windowText" lastClr="000000">
                  <a:lumMod val="65000"/>
                  <a:lumOff val="35000"/>
                </a:sysClr>
              </a:solidFill>
              <a:latin typeface="Algerian" panose="04020705040A02060702" pitchFamily="82" charset="0"/>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cap="all" spc="50" baseline="0">
              <a:solidFill>
                <a:sysClr val="windowText" lastClr="000000">
                  <a:lumMod val="65000"/>
                  <a:lumOff val="35000"/>
                </a:sysClr>
              </a:solidFill>
              <a:latin typeface="Algerian" panose="04020705040A02060702" pitchFamily="82"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81694614686785E-2"/>
          <c:y val="0.26144578313253014"/>
          <c:w val="0.94383661077062642"/>
          <c:h val="0.66867991651645964"/>
        </c:manualLayout>
      </c:layout>
      <c:barChart>
        <c:barDir val="col"/>
        <c:grouping val="clustered"/>
        <c:varyColors val="0"/>
        <c:ser>
          <c:idx val="0"/>
          <c:order val="0"/>
          <c:tx>
            <c:strRef>
              <c:f>PIVIOT!$C$26</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PIVIOT!$B$27:$B$32</c:f>
              <c:strCache>
                <c:ptCount val="5"/>
                <c:pt idx="0">
                  <c:v>Therapy</c:v>
                </c:pt>
                <c:pt idx="1">
                  <c:v>Checkup</c:v>
                </c:pt>
                <c:pt idx="2">
                  <c:v>Consultation</c:v>
                </c:pt>
                <c:pt idx="3">
                  <c:v>Follow-up</c:v>
                </c:pt>
                <c:pt idx="4">
                  <c:v>Emergency</c:v>
                </c:pt>
              </c:strCache>
            </c:strRef>
          </c:cat>
          <c:val>
            <c:numRef>
              <c:f>PIVIOT!$C$27:$C$32</c:f>
              <c:numCache>
                <c:formatCode>General</c:formatCode>
                <c:ptCount val="5"/>
                <c:pt idx="0">
                  <c:v>42</c:v>
                </c:pt>
                <c:pt idx="1">
                  <c:v>45</c:v>
                </c:pt>
                <c:pt idx="2">
                  <c:v>43</c:v>
                </c:pt>
                <c:pt idx="3">
                  <c:v>41</c:v>
                </c:pt>
                <c:pt idx="4">
                  <c:v>29</c:v>
                </c:pt>
              </c:numCache>
            </c:numRef>
          </c:val>
          <c:extLst>
            <c:ext xmlns:c16="http://schemas.microsoft.com/office/drawing/2014/chart" uri="{C3380CC4-5D6E-409C-BE32-E72D297353CC}">
              <c16:uniqueId val="{00000000-5338-497A-824D-A43120314997}"/>
            </c:ext>
          </c:extLst>
        </c:ser>
        <c:dLbls>
          <c:showLegendKey val="0"/>
          <c:showVal val="0"/>
          <c:showCatName val="0"/>
          <c:showSerName val="0"/>
          <c:showPercent val="0"/>
          <c:showBubbleSize val="0"/>
        </c:dLbls>
        <c:gapWidth val="355"/>
        <c:overlap val="-70"/>
        <c:axId val="1303594976"/>
        <c:axId val="2064255920"/>
      </c:barChart>
      <c:catAx>
        <c:axId val="13035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64255920"/>
        <c:crosses val="autoZero"/>
        <c:auto val="1"/>
        <c:lblAlgn val="ctr"/>
        <c:lblOffset val="100"/>
        <c:noMultiLvlLbl val="0"/>
      </c:catAx>
      <c:valAx>
        <c:axId val="2064255920"/>
        <c:scaling>
          <c:orientation val="minMax"/>
        </c:scaling>
        <c:delete val="1"/>
        <c:axPos val="l"/>
        <c:numFmt formatCode="General" sourceLinked="1"/>
        <c:majorTickMark val="none"/>
        <c:minorTickMark val="none"/>
        <c:tickLblPos val="nextTo"/>
        <c:crossAx val="1303594976"/>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og.xlsx]PIVIOT!PivotTable28</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cap="all" spc="50" baseline="0">
                <a:solidFill>
                  <a:sysClr val="windowText" lastClr="000000">
                    <a:lumMod val="65000"/>
                    <a:lumOff val="35000"/>
                  </a:sysClr>
                </a:solidFill>
                <a:latin typeface="Algerian" panose="04020705040A02060702" pitchFamily="82" charset="0"/>
                <a:ea typeface="+mn-ea"/>
                <a:cs typeface="+mn-cs"/>
              </a:defRPr>
            </a:pPr>
            <a:r>
              <a:rPr lang="en-US" sz="2400" b="1" i="0" u="none" strike="noStrike" kern="1200" cap="all" spc="50" baseline="0">
                <a:solidFill>
                  <a:sysClr val="windowText" lastClr="000000">
                    <a:lumMod val="65000"/>
                    <a:lumOff val="35000"/>
                  </a:sysClr>
                </a:solidFill>
                <a:latin typeface="Algerian" panose="04020705040A02060702" pitchFamily="82" charset="0"/>
                <a:ea typeface="+mn-ea"/>
                <a:cs typeface="+mn-cs"/>
              </a:rPr>
              <a:t>REVENUE BY TREATMENT </a:t>
            </a:r>
          </a:p>
          <a:p>
            <a:pPr marL="0" marR="0" lvl="0" indent="0" algn="ctr" defTabSz="914400" rtl="0" eaLnBrk="1" fontAlgn="auto" latinLnBrk="0" hangingPunct="1">
              <a:lnSpc>
                <a:spcPct val="100000"/>
              </a:lnSpc>
              <a:spcBef>
                <a:spcPts val="0"/>
              </a:spcBef>
              <a:spcAft>
                <a:spcPts val="0"/>
              </a:spcAft>
              <a:buClrTx/>
              <a:buSzTx/>
              <a:buFontTx/>
              <a:buNone/>
              <a:tabLst/>
              <a:defRPr lang="en-US" sz="2400">
                <a:solidFill>
                  <a:sysClr val="windowText" lastClr="000000">
                    <a:lumMod val="65000"/>
                    <a:lumOff val="35000"/>
                  </a:sysClr>
                </a:solidFill>
                <a:latin typeface="Algerian" panose="04020705040A02060702" pitchFamily="82" charset="0"/>
              </a:defRPr>
            </a:pPr>
            <a:endParaRPr lang="en-US" sz="2400" b="1" i="0" u="none" strike="noStrike" kern="1200" cap="all" spc="50" baseline="0">
              <a:solidFill>
                <a:sysClr val="windowText" lastClr="000000">
                  <a:lumMod val="65000"/>
                  <a:lumOff val="35000"/>
                </a:sysClr>
              </a:solidFill>
              <a:latin typeface="Algerian" panose="04020705040A02060702" pitchFamily="82" charset="0"/>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cap="all" spc="50" baseline="0">
              <a:solidFill>
                <a:sysClr val="windowText" lastClr="000000">
                  <a:lumMod val="65000"/>
                  <a:lumOff val="35000"/>
                </a:sysClr>
              </a:solidFill>
              <a:latin typeface="Algerian" panose="04020705040A02060702" pitchFamily="82"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244036855119016E-2"/>
          <c:y val="0.19313931791696648"/>
          <c:w val="0.947511926289762"/>
          <c:h val="0.71111393127657407"/>
        </c:manualLayout>
      </c:layout>
      <c:barChart>
        <c:barDir val="col"/>
        <c:grouping val="clustered"/>
        <c:varyColors val="0"/>
        <c:ser>
          <c:idx val="0"/>
          <c:order val="0"/>
          <c:tx>
            <c:strRef>
              <c:f>PIVIOT!$C$40</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PIVIOT!$B$41:$B$46</c:f>
              <c:strCache>
                <c:ptCount val="5"/>
                <c:pt idx="0">
                  <c:v>Chemotherapy</c:v>
                </c:pt>
                <c:pt idx="1">
                  <c:v>ECG</c:v>
                </c:pt>
                <c:pt idx="2">
                  <c:v>MRI</c:v>
                </c:pt>
                <c:pt idx="3">
                  <c:v>Physiotherapy</c:v>
                </c:pt>
                <c:pt idx="4">
                  <c:v>X-Ray</c:v>
                </c:pt>
              </c:strCache>
            </c:strRef>
          </c:cat>
          <c:val>
            <c:numRef>
              <c:f>PIVIOT!$C$41:$C$46</c:f>
              <c:numCache>
                <c:formatCode>General</c:formatCode>
                <c:ptCount val="5"/>
                <c:pt idx="0">
                  <c:v>128855.67999999999</c:v>
                </c:pt>
                <c:pt idx="1">
                  <c:v>96224.24</c:v>
                </c:pt>
                <c:pt idx="2">
                  <c:v>116098.16</c:v>
                </c:pt>
                <c:pt idx="3">
                  <c:v>99418.1</c:v>
                </c:pt>
                <c:pt idx="4">
                  <c:v>110653.67</c:v>
                </c:pt>
              </c:numCache>
            </c:numRef>
          </c:val>
          <c:extLst>
            <c:ext xmlns:c16="http://schemas.microsoft.com/office/drawing/2014/chart" uri="{C3380CC4-5D6E-409C-BE32-E72D297353CC}">
              <c16:uniqueId val="{00000000-571A-482C-808F-80D4C5CF489F}"/>
            </c:ext>
          </c:extLst>
        </c:ser>
        <c:dLbls>
          <c:showLegendKey val="0"/>
          <c:showVal val="0"/>
          <c:showCatName val="0"/>
          <c:showSerName val="0"/>
          <c:showPercent val="0"/>
          <c:showBubbleSize val="0"/>
        </c:dLbls>
        <c:gapWidth val="355"/>
        <c:overlap val="-70"/>
        <c:axId val="1303556464"/>
        <c:axId val="862882735"/>
      </c:barChart>
      <c:catAx>
        <c:axId val="130355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82735"/>
        <c:crosses val="autoZero"/>
        <c:auto val="1"/>
        <c:lblAlgn val="ctr"/>
        <c:lblOffset val="100"/>
        <c:noMultiLvlLbl val="0"/>
      </c:catAx>
      <c:valAx>
        <c:axId val="862882735"/>
        <c:scaling>
          <c:orientation val="minMax"/>
        </c:scaling>
        <c:delete val="1"/>
        <c:axPos val="l"/>
        <c:numFmt formatCode="General" sourceLinked="1"/>
        <c:majorTickMark val="none"/>
        <c:minorTickMark val="none"/>
        <c:tickLblPos val="nextTo"/>
        <c:crossAx val="1303556464"/>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og.xlsx]PIVIOT!PivotTable30</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000" b="1" i="0" u="none" strike="noStrike" kern="1200" cap="all" spc="50" baseline="0">
                <a:solidFill>
                  <a:sysClr val="windowText" lastClr="000000">
                    <a:lumMod val="65000"/>
                    <a:lumOff val="35000"/>
                  </a:sysClr>
                </a:solidFill>
                <a:latin typeface="Algerian" panose="04020705040A02060702" pitchFamily="82" charset="0"/>
                <a:ea typeface="+mn-ea"/>
                <a:cs typeface="+mn-cs"/>
              </a:defRPr>
            </a:pPr>
            <a:r>
              <a:rPr lang="en-US" sz="2000" b="1" i="0" u="none" strike="noStrike" kern="1200" cap="all" spc="50" baseline="0">
                <a:solidFill>
                  <a:sysClr val="windowText" lastClr="000000">
                    <a:lumMod val="65000"/>
                    <a:lumOff val="35000"/>
                  </a:sysClr>
                </a:solidFill>
                <a:latin typeface="Algerian" panose="04020705040A02060702" pitchFamily="82" charset="0"/>
                <a:ea typeface="+mn-ea"/>
                <a:cs typeface="+mn-cs"/>
              </a:rPr>
              <a:t>REVENUE BY DOCTOR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000" b="1" i="0" u="none" strike="noStrike" kern="1200" cap="all" spc="50" baseline="0">
              <a:solidFill>
                <a:sysClr val="windowText" lastClr="000000">
                  <a:lumMod val="65000"/>
                  <a:lumOff val="35000"/>
                </a:sysClr>
              </a:solidFill>
              <a:latin typeface="Algerian" panose="04020705040A02060702" pitchFamily="82"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98450016327111"/>
          <c:y val="0.18281775190228411"/>
          <c:w val="0.79823775153105858"/>
          <c:h val="0.79246372428393708"/>
        </c:manualLayout>
      </c:layout>
      <c:barChart>
        <c:barDir val="bar"/>
        <c:grouping val="clustered"/>
        <c:varyColors val="0"/>
        <c:ser>
          <c:idx val="0"/>
          <c:order val="0"/>
          <c:tx>
            <c:strRef>
              <c:f>PIVIOT!$C$78</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cat>
            <c:strRef>
              <c:f>PIVIOT!$B$79:$B$89</c:f>
              <c:strCache>
                <c:ptCount val="10"/>
                <c:pt idx="0">
                  <c:v>Alex Davis</c:v>
                </c:pt>
                <c:pt idx="1">
                  <c:v>David Jones</c:v>
                </c:pt>
                <c:pt idx="2">
                  <c:v>David Taylor</c:v>
                </c:pt>
                <c:pt idx="3">
                  <c:v>Jane Davis</c:v>
                </c:pt>
                <c:pt idx="4">
                  <c:v>Jane Smith</c:v>
                </c:pt>
                <c:pt idx="5">
                  <c:v>Linda Brown</c:v>
                </c:pt>
                <c:pt idx="6">
                  <c:v>Linda Wilson</c:v>
                </c:pt>
                <c:pt idx="7">
                  <c:v>Robert Davis</c:v>
                </c:pt>
                <c:pt idx="8">
                  <c:v>Sarah Smith</c:v>
                </c:pt>
                <c:pt idx="9">
                  <c:v>Sarah Taylor</c:v>
                </c:pt>
              </c:strCache>
            </c:strRef>
          </c:cat>
          <c:val>
            <c:numRef>
              <c:f>PIVIOT!$C$79:$C$89</c:f>
              <c:numCache>
                <c:formatCode>General</c:formatCode>
                <c:ptCount val="10"/>
                <c:pt idx="0">
                  <c:v>87705.86</c:v>
                </c:pt>
                <c:pt idx="1">
                  <c:v>56940.01</c:v>
                </c:pt>
                <c:pt idx="2">
                  <c:v>15623.46</c:v>
                </c:pt>
                <c:pt idx="3">
                  <c:v>59092.35</c:v>
                </c:pt>
                <c:pt idx="4">
                  <c:v>95000.59</c:v>
                </c:pt>
                <c:pt idx="5">
                  <c:v>32862.14</c:v>
                </c:pt>
                <c:pt idx="6">
                  <c:v>75083.88</c:v>
                </c:pt>
                <c:pt idx="7">
                  <c:v>39147.94</c:v>
                </c:pt>
                <c:pt idx="8">
                  <c:v>66305.42</c:v>
                </c:pt>
                <c:pt idx="9">
                  <c:v>23488.2</c:v>
                </c:pt>
              </c:numCache>
            </c:numRef>
          </c:val>
          <c:extLst>
            <c:ext xmlns:c16="http://schemas.microsoft.com/office/drawing/2014/chart" uri="{C3380CC4-5D6E-409C-BE32-E72D297353CC}">
              <c16:uniqueId val="{00000000-A8FD-4751-9212-3DCF047854A8}"/>
            </c:ext>
          </c:extLst>
        </c:ser>
        <c:dLbls>
          <c:showLegendKey val="0"/>
          <c:showVal val="0"/>
          <c:showCatName val="0"/>
          <c:showSerName val="0"/>
          <c:showPercent val="0"/>
          <c:showBubbleSize val="0"/>
        </c:dLbls>
        <c:gapWidth val="326"/>
        <c:overlap val="-58"/>
        <c:axId val="1303412624"/>
        <c:axId val="1202102448"/>
      </c:barChart>
      <c:catAx>
        <c:axId val="1303412624"/>
        <c:scaling>
          <c:orientation val="minMax"/>
        </c:scaling>
        <c:delete val="0"/>
        <c:axPos val="l"/>
        <c:numFmt formatCode="General" sourceLinked="1"/>
        <c:majorTickMark val="out"/>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102448"/>
        <c:crosses val="autoZero"/>
        <c:auto val="1"/>
        <c:lblAlgn val="ctr"/>
        <c:lblOffset val="100"/>
        <c:noMultiLvlLbl val="0"/>
      </c:catAx>
      <c:valAx>
        <c:axId val="1202102448"/>
        <c:scaling>
          <c:orientation val="minMax"/>
        </c:scaling>
        <c:delete val="1"/>
        <c:axPos val="b"/>
        <c:numFmt formatCode="General" sourceLinked="1"/>
        <c:majorTickMark val="none"/>
        <c:minorTickMark val="none"/>
        <c:tickLblPos val="nextTo"/>
        <c:crossAx val="1303412624"/>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0</xdr:rowOff>
    </xdr:from>
    <xdr:to>
      <xdr:col>0</xdr:col>
      <xdr:colOff>6918960</xdr:colOff>
      <xdr:row>25</xdr:row>
      <xdr:rowOff>129092</xdr:rowOff>
    </xdr:to>
    <xdr:graphicFrame macro="">
      <xdr:nvGraphicFramePr>
        <xdr:cNvPr id="3" name="Chart 2">
          <a:extLst>
            <a:ext uri="{FF2B5EF4-FFF2-40B4-BE49-F238E27FC236}">
              <a16:creationId xmlns:a16="http://schemas.microsoft.com/office/drawing/2014/main" id="{60D23917-2180-459B-B10C-8866F850F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274320</xdr:colOff>
      <xdr:row>1</xdr:row>
      <xdr:rowOff>30480</xdr:rowOff>
    </xdr:from>
    <xdr:to>
      <xdr:col>9</xdr:col>
      <xdr:colOff>220980</xdr:colOff>
      <xdr:row>16</xdr:row>
      <xdr:rowOff>30480</xdr:rowOff>
    </xdr:to>
    <xdr:graphicFrame macro="">
      <xdr:nvGraphicFramePr>
        <xdr:cNvPr id="2" name="Chart 1">
          <a:extLst>
            <a:ext uri="{FF2B5EF4-FFF2-40B4-BE49-F238E27FC236}">
              <a16:creationId xmlns:a16="http://schemas.microsoft.com/office/drawing/2014/main" id="{90B530CD-1A82-E77F-58F0-9AA0AF4E5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449580</xdr:colOff>
      <xdr:row>21</xdr:row>
      <xdr:rowOff>167640</xdr:rowOff>
    </xdr:from>
    <xdr:to>
      <xdr:col>9</xdr:col>
      <xdr:colOff>411480</xdr:colOff>
      <xdr:row>35</xdr:row>
      <xdr:rowOff>7620</xdr:rowOff>
    </xdr:to>
    <xdr:graphicFrame macro="">
      <xdr:nvGraphicFramePr>
        <xdr:cNvPr id="3" name="Chart 2">
          <a:extLst>
            <a:ext uri="{FF2B5EF4-FFF2-40B4-BE49-F238E27FC236}">
              <a16:creationId xmlns:a16="http://schemas.microsoft.com/office/drawing/2014/main" id="{6C5F292A-2B57-A18D-70BC-7865B16BF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320040</xdr:colOff>
      <xdr:row>38</xdr:row>
      <xdr:rowOff>106680</xdr:rowOff>
    </xdr:from>
    <xdr:to>
      <xdr:col>10</xdr:col>
      <xdr:colOff>22860</xdr:colOff>
      <xdr:row>53</xdr:row>
      <xdr:rowOff>106680</xdr:rowOff>
    </xdr:to>
    <xdr:graphicFrame macro="">
      <xdr:nvGraphicFramePr>
        <xdr:cNvPr id="4" name="Chart 3">
          <a:extLst>
            <a:ext uri="{FF2B5EF4-FFF2-40B4-BE49-F238E27FC236}">
              <a16:creationId xmlns:a16="http://schemas.microsoft.com/office/drawing/2014/main" id="{A6AFDAF4-B6B7-DD05-239B-3AEB8D3A1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220980</xdr:colOff>
      <xdr:row>58</xdr:row>
      <xdr:rowOff>0</xdr:rowOff>
    </xdr:from>
    <xdr:to>
      <xdr:col>9</xdr:col>
      <xdr:colOff>533400</xdr:colOff>
      <xdr:row>73</xdr:row>
      <xdr:rowOff>0</xdr:rowOff>
    </xdr:to>
    <xdr:graphicFrame macro="">
      <xdr:nvGraphicFramePr>
        <xdr:cNvPr id="5" name="Chart 4">
          <a:extLst>
            <a:ext uri="{FF2B5EF4-FFF2-40B4-BE49-F238E27FC236}">
              <a16:creationId xmlns:a16="http://schemas.microsoft.com/office/drawing/2014/main" id="{BC225C60-DDE7-A0BB-A97D-0081A3B7D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266700</xdr:colOff>
      <xdr:row>76</xdr:row>
      <xdr:rowOff>129540</xdr:rowOff>
    </xdr:from>
    <xdr:to>
      <xdr:col>9</xdr:col>
      <xdr:colOff>579120</xdr:colOff>
      <xdr:row>91</xdr:row>
      <xdr:rowOff>129540</xdr:rowOff>
    </xdr:to>
    <xdr:graphicFrame macro="">
      <xdr:nvGraphicFramePr>
        <xdr:cNvPr id="6" name="Chart 5">
          <a:extLst>
            <a:ext uri="{FF2B5EF4-FFF2-40B4-BE49-F238E27FC236}">
              <a16:creationId xmlns:a16="http://schemas.microsoft.com/office/drawing/2014/main" id="{7EEEFBFA-1F95-558B-A519-7C00575A38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198120</xdr:colOff>
      <xdr:row>3</xdr:row>
      <xdr:rowOff>7620</xdr:rowOff>
    </xdr:from>
    <xdr:to>
      <xdr:col>13</xdr:col>
      <xdr:colOff>198120</xdr:colOff>
      <xdr:row>16</xdr:row>
      <xdr:rowOff>97155</xdr:rowOff>
    </xdr:to>
    <mc:AlternateContent xmlns:mc="http://schemas.openxmlformats.org/markup-compatibility/2006" xmlns:a14="http://schemas.microsoft.com/office/drawing/2010/main">
      <mc:Choice Requires="a14">
        <xdr:graphicFrame macro="">
          <xdr:nvGraphicFramePr>
            <xdr:cNvPr id="7" name="Full Name">
              <a:extLst>
                <a:ext uri="{FF2B5EF4-FFF2-40B4-BE49-F238E27FC236}">
                  <a16:creationId xmlns:a16="http://schemas.microsoft.com/office/drawing/2014/main" id="{D3D3EA29-ACE1-B2E8-A49A-A639630FBAF2}"/>
                </a:ext>
              </a:extLst>
            </xdr:cNvPr>
            <xdr:cNvGraphicFramePr/>
          </xdr:nvGraphicFramePr>
          <xdr:xfrm>
            <a:off x="0" y="0"/>
            <a:ext cx="0" cy="0"/>
          </xdr:xfrm>
          <a:graphic>
            <a:graphicData uri="http://schemas.microsoft.com/office/drawing/2010/slicer">
              <sle:slicer xmlns:sle="http://schemas.microsoft.com/office/drawing/2010/slicer" name="Full Name"/>
            </a:graphicData>
          </a:graphic>
        </xdr:graphicFrame>
      </mc:Choice>
      <mc:Fallback xmlns="">
        <xdr:sp macro="" textlink="">
          <xdr:nvSpPr>
            <xdr:cNvPr id="0" name=""/>
            <xdr:cNvSpPr>
              <a:spLocks noTextEdit="1"/>
            </xdr:cNvSpPr>
          </xdr:nvSpPr>
          <xdr:spPr>
            <a:xfrm>
              <a:off x="7665720" y="556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502920</xdr:colOff>
      <xdr:row>20</xdr:row>
      <xdr:rowOff>160020</xdr:rowOff>
    </xdr:from>
    <xdr:to>
      <xdr:col>12</xdr:col>
      <xdr:colOff>502920</xdr:colOff>
      <xdr:row>34</xdr:row>
      <xdr:rowOff>66675</xdr:rowOff>
    </xdr:to>
    <mc:AlternateContent xmlns:mc="http://schemas.openxmlformats.org/markup-compatibility/2006" xmlns:a14="http://schemas.microsoft.com/office/drawing/2010/main">
      <mc:Choice Requires="a14">
        <xdr:graphicFrame macro="">
          <xdr:nvGraphicFramePr>
            <xdr:cNvPr id="8" name="Reason_For_Visit">
              <a:extLst>
                <a:ext uri="{FF2B5EF4-FFF2-40B4-BE49-F238E27FC236}">
                  <a16:creationId xmlns:a16="http://schemas.microsoft.com/office/drawing/2014/main" id="{6E09B18E-131C-BC99-2D04-E08E45B0C520}"/>
                </a:ext>
              </a:extLst>
            </xdr:cNvPr>
            <xdr:cNvGraphicFramePr/>
          </xdr:nvGraphicFramePr>
          <xdr:xfrm>
            <a:off x="0" y="0"/>
            <a:ext cx="0" cy="0"/>
          </xdr:xfrm>
          <a:graphic>
            <a:graphicData uri="http://schemas.microsoft.com/office/drawing/2010/slicer">
              <sle:slicer xmlns:sle="http://schemas.microsoft.com/office/drawing/2010/slicer" name="Reason_For_Visit"/>
            </a:graphicData>
          </a:graphic>
        </xdr:graphicFrame>
      </mc:Choice>
      <mc:Fallback xmlns="">
        <xdr:sp macro="" textlink="">
          <xdr:nvSpPr>
            <xdr:cNvPr id="0" name=""/>
            <xdr:cNvSpPr>
              <a:spLocks noTextEdit="1"/>
            </xdr:cNvSpPr>
          </xdr:nvSpPr>
          <xdr:spPr>
            <a:xfrm>
              <a:off x="7223760" y="3817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190500</xdr:colOff>
      <xdr:row>39</xdr:row>
      <xdr:rowOff>38100</xdr:rowOff>
    </xdr:from>
    <xdr:to>
      <xdr:col>13</xdr:col>
      <xdr:colOff>190500</xdr:colOff>
      <xdr:row>52</xdr:row>
      <xdr:rowOff>127635</xdr:rowOff>
    </xdr:to>
    <mc:AlternateContent xmlns:mc="http://schemas.openxmlformats.org/markup-compatibility/2006" xmlns:a14="http://schemas.microsoft.com/office/drawing/2010/main">
      <mc:Choice Requires="a14">
        <xdr:graphicFrame macro="">
          <xdr:nvGraphicFramePr>
            <xdr:cNvPr id="9" name="Treatment_Type">
              <a:extLst>
                <a:ext uri="{FF2B5EF4-FFF2-40B4-BE49-F238E27FC236}">
                  <a16:creationId xmlns:a16="http://schemas.microsoft.com/office/drawing/2014/main" id="{94A078EA-1C97-3404-1F48-8ECE5595F564}"/>
                </a:ext>
              </a:extLst>
            </xdr:cNvPr>
            <xdr:cNvGraphicFramePr/>
          </xdr:nvGraphicFramePr>
          <xdr:xfrm>
            <a:off x="0" y="0"/>
            <a:ext cx="0" cy="0"/>
          </xdr:xfrm>
          <a:graphic>
            <a:graphicData uri="http://schemas.microsoft.com/office/drawing/2010/slicer">
              <sle:slicer xmlns:sle="http://schemas.microsoft.com/office/drawing/2010/slicer" name="Treatment_Type"/>
            </a:graphicData>
          </a:graphic>
        </xdr:graphicFrame>
      </mc:Choice>
      <mc:Fallback xmlns="">
        <xdr:sp macro="" textlink="">
          <xdr:nvSpPr>
            <xdr:cNvPr id="0" name=""/>
            <xdr:cNvSpPr>
              <a:spLocks noTextEdit="1"/>
            </xdr:cNvSpPr>
          </xdr:nvSpPr>
          <xdr:spPr>
            <a:xfrm>
              <a:off x="7520940" y="7170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403860</xdr:colOff>
      <xdr:row>58</xdr:row>
      <xdr:rowOff>15240</xdr:rowOff>
    </xdr:from>
    <xdr:to>
      <xdr:col>13</xdr:col>
      <xdr:colOff>403860</xdr:colOff>
      <xdr:row>71</xdr:row>
      <xdr:rowOff>104775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02BE34BE-C6F9-246E-F137-DBA286B992E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734300" y="10622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365760</xdr:colOff>
      <xdr:row>6</xdr:row>
      <xdr:rowOff>129540</xdr:rowOff>
    </xdr:from>
    <xdr:to>
      <xdr:col>7</xdr:col>
      <xdr:colOff>304800</xdr:colOff>
      <xdr:row>21</xdr:row>
      <xdr:rowOff>129540</xdr:rowOff>
    </xdr:to>
    <xdr:graphicFrame macro="">
      <xdr:nvGraphicFramePr>
        <xdr:cNvPr id="7" name="Chart 6">
          <a:extLst>
            <a:ext uri="{FF2B5EF4-FFF2-40B4-BE49-F238E27FC236}">
              <a16:creationId xmlns:a16="http://schemas.microsoft.com/office/drawing/2014/main" id="{668EE2EE-7CF9-46C6-87ED-D2AD6D3C2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213360</xdr:colOff>
      <xdr:row>7</xdr:row>
      <xdr:rowOff>7620</xdr:rowOff>
    </xdr:from>
    <xdr:to>
      <xdr:col>15</xdr:col>
      <xdr:colOff>167640</xdr:colOff>
      <xdr:row>20</xdr:row>
      <xdr:rowOff>30480</xdr:rowOff>
    </xdr:to>
    <xdr:graphicFrame macro="">
      <xdr:nvGraphicFramePr>
        <xdr:cNvPr id="8" name="Chart 7">
          <a:extLst>
            <a:ext uri="{FF2B5EF4-FFF2-40B4-BE49-F238E27FC236}">
              <a16:creationId xmlns:a16="http://schemas.microsoft.com/office/drawing/2014/main" id="{439D9EAF-89EA-461B-AA5F-189013CF3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411480</xdr:colOff>
      <xdr:row>6</xdr:row>
      <xdr:rowOff>160020</xdr:rowOff>
    </xdr:from>
    <xdr:to>
      <xdr:col>23</xdr:col>
      <xdr:colOff>106680</xdr:colOff>
      <xdr:row>21</xdr:row>
      <xdr:rowOff>160020</xdr:rowOff>
    </xdr:to>
    <xdr:graphicFrame macro="">
      <xdr:nvGraphicFramePr>
        <xdr:cNvPr id="9" name="Chart 8">
          <a:extLst>
            <a:ext uri="{FF2B5EF4-FFF2-40B4-BE49-F238E27FC236}">
              <a16:creationId xmlns:a16="http://schemas.microsoft.com/office/drawing/2014/main" id="{E79A3ABF-2FD3-4188-87CD-5C5E0FFF0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412377</xdr:colOff>
      <xdr:row>23</xdr:row>
      <xdr:rowOff>89646</xdr:rowOff>
    </xdr:from>
    <xdr:to>
      <xdr:col>23</xdr:col>
      <xdr:colOff>8965</xdr:colOff>
      <xdr:row>38</xdr:row>
      <xdr:rowOff>89647</xdr:rowOff>
    </xdr:to>
    <xdr:graphicFrame macro="">
      <xdr:nvGraphicFramePr>
        <xdr:cNvPr id="10" name="Chart 9">
          <a:extLst>
            <a:ext uri="{FF2B5EF4-FFF2-40B4-BE49-F238E27FC236}">
              <a16:creationId xmlns:a16="http://schemas.microsoft.com/office/drawing/2014/main" id="{339C8770-C174-4488-9C69-F472B6E37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143436</xdr:colOff>
      <xdr:row>23</xdr:row>
      <xdr:rowOff>35859</xdr:rowOff>
    </xdr:from>
    <xdr:to>
      <xdr:col>8</xdr:col>
      <xdr:colOff>448236</xdr:colOff>
      <xdr:row>38</xdr:row>
      <xdr:rowOff>35859</xdr:rowOff>
    </xdr:to>
    <xdr:graphicFrame macro="">
      <xdr:nvGraphicFramePr>
        <xdr:cNvPr id="11" name="Chart 10">
          <a:extLst>
            <a:ext uri="{FF2B5EF4-FFF2-40B4-BE49-F238E27FC236}">
              <a16:creationId xmlns:a16="http://schemas.microsoft.com/office/drawing/2014/main" id="{C154220F-DC5A-4F7E-98B4-26B1280AF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39</xdr:col>
      <xdr:colOff>174170</xdr:colOff>
      <xdr:row>47</xdr:row>
      <xdr:rowOff>114300</xdr:rowOff>
    </xdr:to>
    <xdr:sp macro="" textlink="">
      <xdr:nvSpPr>
        <xdr:cNvPr id="9" name="Rectangle: Rounded Corners 8">
          <a:extLst>
            <a:ext uri="{FF2B5EF4-FFF2-40B4-BE49-F238E27FC236}">
              <a16:creationId xmlns:a16="http://schemas.microsoft.com/office/drawing/2014/main" id="{F151BE92-F4DE-5957-7317-B04AC5090B1E}"/>
            </a:ext>
          </a:extLst>
        </xdr:cNvPr>
        <xdr:cNvSpPr/>
      </xdr:nvSpPr>
      <xdr:spPr>
        <a:xfrm>
          <a:off x="0" y="0"/>
          <a:ext cx="23948570" cy="8470900"/>
        </a:xfrm>
        <a:prstGeom prst="roundRect">
          <a:avLst>
            <a:gd name="adj" fmla="val 1294"/>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139700</xdr:colOff>
      <xdr:row>0</xdr:row>
      <xdr:rowOff>176348</xdr:rowOff>
    </xdr:from>
    <xdr:to>
      <xdr:col>27</xdr:col>
      <xdr:colOff>444500</xdr:colOff>
      <xdr:row>3</xdr:row>
      <xdr:rowOff>44631</xdr:rowOff>
    </xdr:to>
    <xdr:sp macro="" textlink="">
      <xdr:nvSpPr>
        <xdr:cNvPr id="11" name="TextBox 10">
          <a:extLst>
            <a:ext uri="{FF2B5EF4-FFF2-40B4-BE49-F238E27FC236}">
              <a16:creationId xmlns:a16="http://schemas.microsoft.com/office/drawing/2014/main" id="{F52B1666-4797-A984-1C94-E7A0F361B304}"/>
            </a:ext>
          </a:extLst>
        </xdr:cNvPr>
        <xdr:cNvSpPr txBox="1"/>
      </xdr:nvSpPr>
      <xdr:spPr>
        <a:xfrm>
          <a:off x="4406900" y="176348"/>
          <a:ext cx="12496800" cy="401683"/>
        </a:xfrm>
        <a:prstGeom prst="rect">
          <a:avLst/>
        </a:prstGeom>
        <a:solidFill>
          <a:schemeClr val="accent6">
            <a:lumMod val="5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Algerian" panose="04020705040A02060702" pitchFamily="82" charset="0"/>
            </a:rPr>
            <a:t>Hospital Management dashboard</a:t>
          </a:r>
        </a:p>
      </xdr:txBody>
    </xdr:sp>
    <xdr:clientData/>
  </xdr:twoCellAnchor>
  <xdr:twoCellAnchor>
    <xdr:from>
      <xdr:col>1</xdr:col>
      <xdr:colOff>32657</xdr:colOff>
      <xdr:row>5</xdr:row>
      <xdr:rowOff>141514</xdr:rowOff>
    </xdr:from>
    <xdr:to>
      <xdr:col>7</xdr:col>
      <xdr:colOff>228601</xdr:colOff>
      <xdr:row>13</xdr:row>
      <xdr:rowOff>38100</xdr:rowOff>
    </xdr:to>
    <xdr:grpSp>
      <xdr:nvGrpSpPr>
        <xdr:cNvPr id="12" name="Group 11">
          <a:extLst>
            <a:ext uri="{FF2B5EF4-FFF2-40B4-BE49-F238E27FC236}">
              <a16:creationId xmlns:a16="http://schemas.microsoft.com/office/drawing/2014/main" id="{7310BC4B-C81C-4422-AE6B-83048BB0D82A}"/>
            </a:ext>
          </a:extLst>
        </xdr:cNvPr>
        <xdr:cNvGrpSpPr/>
      </xdr:nvGrpSpPr>
      <xdr:grpSpPr>
        <a:xfrm>
          <a:off x="642257" y="1030514"/>
          <a:ext cx="3853544" cy="1318986"/>
          <a:chOff x="746760" y="320040"/>
          <a:chExt cx="2346614" cy="1158240"/>
        </a:xfrm>
      </xdr:grpSpPr>
      <xdr:sp macro="" textlink="">
        <xdr:nvSpPr>
          <xdr:cNvPr id="13" name="Rectangle: Rounded Corners 12">
            <a:extLst>
              <a:ext uri="{FF2B5EF4-FFF2-40B4-BE49-F238E27FC236}">
                <a16:creationId xmlns:a16="http://schemas.microsoft.com/office/drawing/2014/main" id="{C5C04992-0A2A-9544-EDAA-52B425B8EDBC}"/>
              </a:ext>
            </a:extLst>
          </xdr:cNvPr>
          <xdr:cNvSpPr/>
        </xdr:nvSpPr>
        <xdr:spPr>
          <a:xfrm>
            <a:off x="800446" y="320040"/>
            <a:ext cx="2292928" cy="1158240"/>
          </a:xfrm>
          <a:prstGeom prst="roundRect">
            <a:avLst/>
          </a:prstGeom>
          <a:effectLst>
            <a:innerShdw blurRad="114300">
              <a:prstClr val="black"/>
            </a:inn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E624AE44-D9B8-E613-631B-FCBD9A9F4AE7}"/>
              </a:ext>
            </a:extLst>
          </xdr:cNvPr>
          <xdr:cNvSpPr txBox="1"/>
        </xdr:nvSpPr>
        <xdr:spPr>
          <a:xfrm>
            <a:off x="746760" y="419100"/>
            <a:ext cx="1913918"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latin typeface="Algerian" panose="04020705040A02060702" pitchFamily="82" charset="0"/>
              </a:rPr>
              <a:t>Total Appoinments</a:t>
            </a:r>
          </a:p>
        </xdr:txBody>
      </xdr:sp>
      <xdr:sp macro="" textlink="PIVIOT!O15">
        <xdr:nvSpPr>
          <xdr:cNvPr id="15" name="TextBox 14">
            <a:extLst>
              <a:ext uri="{FF2B5EF4-FFF2-40B4-BE49-F238E27FC236}">
                <a16:creationId xmlns:a16="http://schemas.microsoft.com/office/drawing/2014/main" id="{E49D190A-3BE9-7988-DBA6-1C901EA954E0}"/>
              </a:ext>
            </a:extLst>
          </xdr:cNvPr>
          <xdr:cNvSpPr txBox="1"/>
        </xdr:nvSpPr>
        <xdr:spPr>
          <a:xfrm>
            <a:off x="866601" y="868680"/>
            <a:ext cx="1732165" cy="449580"/>
          </a:xfrm>
          <a:prstGeom prst="roundRect">
            <a:avLst/>
          </a:prstGeom>
          <a:solidFill>
            <a:schemeClr val="accent6">
              <a:lumMod val="5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91DD72-A0B1-4F42-AB05-CECC312172B8}" type="TxLink">
              <a:rPr lang="en-US" sz="2800" b="0" i="0" u="none" strike="noStrike">
                <a:solidFill>
                  <a:srgbClr val="000000"/>
                </a:solidFill>
                <a:latin typeface="Berlin Sans FB Demi" panose="020E0802020502020306" pitchFamily="34" charset="0"/>
                <a:ea typeface="Calibri"/>
                <a:cs typeface="Calibri"/>
              </a:rPr>
              <a:t>200</a:t>
            </a:fld>
            <a:endParaRPr lang="en-US" sz="2800">
              <a:latin typeface="Berlin Sans FB Demi" panose="020E0802020502020306" pitchFamily="34" charset="0"/>
            </a:endParaRPr>
          </a:p>
        </xdr:txBody>
      </xdr:sp>
      <xdr:pic>
        <xdr:nvPicPr>
          <xdr:cNvPr id="16" name="Graphic 15" descr="Bar chart with solid fill">
            <a:extLst>
              <a:ext uri="{FF2B5EF4-FFF2-40B4-BE49-F238E27FC236}">
                <a16:creationId xmlns:a16="http://schemas.microsoft.com/office/drawing/2014/main" id="{38927C50-306C-50DD-7262-6AF1428423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13660" y="396240"/>
            <a:ext cx="419100" cy="419100"/>
          </a:xfrm>
          <a:prstGeom prst="rect">
            <a:avLst/>
          </a:prstGeom>
        </xdr:spPr>
      </xdr:pic>
    </xdr:grpSp>
    <xdr:clientData/>
  </xdr:twoCellAnchor>
  <xdr:twoCellAnchor>
    <xdr:from>
      <xdr:col>7</xdr:col>
      <xdr:colOff>279400</xdr:colOff>
      <xdr:row>5</xdr:row>
      <xdr:rowOff>141515</xdr:rowOff>
    </xdr:from>
    <xdr:to>
      <xdr:col>13</xdr:col>
      <xdr:colOff>558799</xdr:colOff>
      <xdr:row>13</xdr:row>
      <xdr:rowOff>54428</xdr:rowOff>
    </xdr:to>
    <xdr:grpSp>
      <xdr:nvGrpSpPr>
        <xdr:cNvPr id="17" name="Group 16">
          <a:extLst>
            <a:ext uri="{FF2B5EF4-FFF2-40B4-BE49-F238E27FC236}">
              <a16:creationId xmlns:a16="http://schemas.microsoft.com/office/drawing/2014/main" id="{38F863E0-1ED6-5D3E-6552-836D56B50B05}"/>
            </a:ext>
          </a:extLst>
        </xdr:cNvPr>
        <xdr:cNvGrpSpPr/>
      </xdr:nvGrpSpPr>
      <xdr:grpSpPr>
        <a:xfrm>
          <a:off x="4546600" y="1030515"/>
          <a:ext cx="3936999" cy="1335313"/>
          <a:chOff x="724247" y="320040"/>
          <a:chExt cx="2292927" cy="1158240"/>
        </a:xfrm>
      </xdr:grpSpPr>
      <xdr:sp macro="" textlink="">
        <xdr:nvSpPr>
          <xdr:cNvPr id="18" name="Rectangle: Rounded Corners 17">
            <a:extLst>
              <a:ext uri="{FF2B5EF4-FFF2-40B4-BE49-F238E27FC236}">
                <a16:creationId xmlns:a16="http://schemas.microsoft.com/office/drawing/2014/main" id="{A5DF8963-E1C0-A8E8-B9F8-AD06FA3234D6}"/>
              </a:ext>
            </a:extLst>
          </xdr:cNvPr>
          <xdr:cNvSpPr/>
        </xdr:nvSpPr>
        <xdr:spPr>
          <a:xfrm>
            <a:off x="724247" y="320040"/>
            <a:ext cx="2292927" cy="1158240"/>
          </a:xfrm>
          <a:prstGeom prst="roundRect">
            <a:avLst/>
          </a:prstGeom>
          <a:effectLst>
            <a:innerShdw blurRad="114300">
              <a:prstClr val="black"/>
            </a:inn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D08123E1-57EA-7C4A-D047-D7316844449E}"/>
              </a:ext>
            </a:extLst>
          </xdr:cNvPr>
          <xdr:cNvSpPr txBox="1"/>
        </xdr:nvSpPr>
        <xdr:spPr>
          <a:xfrm>
            <a:off x="746759" y="419100"/>
            <a:ext cx="1616774"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atin typeface="Algerian" panose="04020705040A02060702" pitchFamily="82" charset="0"/>
              </a:rPr>
              <a:t>Total AMOUNT</a:t>
            </a:r>
          </a:p>
        </xdr:txBody>
      </xdr:sp>
      <xdr:sp macro="" textlink="PIVIOT!P46">
        <xdr:nvSpPr>
          <xdr:cNvPr id="20" name="TextBox 19">
            <a:extLst>
              <a:ext uri="{FF2B5EF4-FFF2-40B4-BE49-F238E27FC236}">
                <a16:creationId xmlns:a16="http://schemas.microsoft.com/office/drawing/2014/main" id="{DDDBD50C-2FAC-B408-C8B9-AC5B7F52550D}"/>
              </a:ext>
            </a:extLst>
          </xdr:cNvPr>
          <xdr:cNvSpPr txBox="1"/>
        </xdr:nvSpPr>
        <xdr:spPr>
          <a:xfrm>
            <a:off x="808068" y="861060"/>
            <a:ext cx="1455420" cy="449580"/>
          </a:xfrm>
          <a:prstGeom prst="roundRect">
            <a:avLst/>
          </a:prstGeom>
          <a:solidFill>
            <a:schemeClr val="accent6">
              <a:lumMod val="5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9179E2-8FB1-4E7B-A990-4BAED3A4EBE8}" type="TxLink">
              <a:rPr lang="en-US" sz="2400" b="0" i="0" u="none" strike="noStrike">
                <a:solidFill>
                  <a:srgbClr val="000000"/>
                </a:solidFill>
                <a:latin typeface="Berlin Sans FB Demi" panose="020E0802020502020306" pitchFamily="34" charset="0"/>
                <a:ea typeface="Calibri"/>
                <a:cs typeface="Calibri"/>
              </a:rPr>
              <a:t>551249.85</a:t>
            </a:fld>
            <a:endParaRPr lang="en-US" sz="2400">
              <a:latin typeface="Berlin Sans FB Demi" panose="020E0802020502020306" pitchFamily="34" charset="0"/>
            </a:endParaRPr>
          </a:p>
        </xdr:txBody>
      </xdr:sp>
    </xdr:grpSp>
    <xdr:clientData/>
  </xdr:twoCellAnchor>
  <xdr:twoCellAnchor editAs="oneCell">
    <xdr:from>
      <xdr:col>12</xdr:col>
      <xdr:colOff>328024</xdr:colOff>
      <xdr:row>6</xdr:row>
      <xdr:rowOff>44268</xdr:rowOff>
    </xdr:from>
    <xdr:to>
      <xdr:col>13</xdr:col>
      <xdr:colOff>292100</xdr:colOff>
      <xdr:row>9</xdr:row>
      <xdr:rowOff>50800</xdr:rowOff>
    </xdr:to>
    <xdr:pic>
      <xdr:nvPicPr>
        <xdr:cNvPr id="23" name="Graphic 22" descr="Money with solid fill">
          <a:extLst>
            <a:ext uri="{FF2B5EF4-FFF2-40B4-BE49-F238E27FC236}">
              <a16:creationId xmlns:a16="http://schemas.microsoft.com/office/drawing/2014/main" id="{E48220A0-F61E-6EEE-70FE-35E371F0EF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43224" y="1111068"/>
          <a:ext cx="573676" cy="539932"/>
        </a:xfrm>
        <a:prstGeom prst="rect">
          <a:avLst/>
        </a:prstGeom>
      </xdr:spPr>
    </xdr:pic>
    <xdr:clientData/>
  </xdr:twoCellAnchor>
  <xdr:twoCellAnchor>
    <xdr:from>
      <xdr:col>14</xdr:col>
      <xdr:colOff>25400</xdr:colOff>
      <xdr:row>5</xdr:row>
      <xdr:rowOff>131718</xdr:rowOff>
    </xdr:from>
    <xdr:to>
      <xdr:col>19</xdr:col>
      <xdr:colOff>482600</xdr:colOff>
      <xdr:row>13</xdr:row>
      <xdr:rowOff>43543</xdr:rowOff>
    </xdr:to>
    <xdr:grpSp>
      <xdr:nvGrpSpPr>
        <xdr:cNvPr id="29" name="Group 28">
          <a:extLst>
            <a:ext uri="{FF2B5EF4-FFF2-40B4-BE49-F238E27FC236}">
              <a16:creationId xmlns:a16="http://schemas.microsoft.com/office/drawing/2014/main" id="{E52553A8-A6D0-4C18-87AE-CB5DB96F2956}"/>
            </a:ext>
          </a:extLst>
        </xdr:cNvPr>
        <xdr:cNvGrpSpPr/>
      </xdr:nvGrpSpPr>
      <xdr:grpSpPr>
        <a:xfrm>
          <a:off x="8559800" y="1020718"/>
          <a:ext cx="3505200" cy="1334225"/>
          <a:chOff x="724247" y="320040"/>
          <a:chExt cx="2308513" cy="1158240"/>
        </a:xfrm>
      </xdr:grpSpPr>
      <xdr:sp macro="" textlink="">
        <xdr:nvSpPr>
          <xdr:cNvPr id="30" name="Rectangle: Rounded Corners 29">
            <a:extLst>
              <a:ext uri="{FF2B5EF4-FFF2-40B4-BE49-F238E27FC236}">
                <a16:creationId xmlns:a16="http://schemas.microsoft.com/office/drawing/2014/main" id="{49EF97BF-5EC6-367F-A1D9-95F0765A17EF}"/>
              </a:ext>
            </a:extLst>
          </xdr:cNvPr>
          <xdr:cNvSpPr/>
        </xdr:nvSpPr>
        <xdr:spPr>
          <a:xfrm>
            <a:off x="724247" y="320040"/>
            <a:ext cx="2292927" cy="1158240"/>
          </a:xfrm>
          <a:prstGeom prst="roundRect">
            <a:avLst/>
          </a:prstGeom>
          <a:effectLst>
            <a:innerShdw blurRad="114300">
              <a:prstClr val="black"/>
            </a:inn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6BD8E9B3-2C1F-DAC2-83BE-0361CD63E18A}"/>
              </a:ext>
            </a:extLst>
          </xdr:cNvPr>
          <xdr:cNvSpPr txBox="1"/>
        </xdr:nvSpPr>
        <xdr:spPr>
          <a:xfrm>
            <a:off x="746759" y="365760"/>
            <a:ext cx="198120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Algerian" panose="04020705040A02060702" pitchFamily="82" charset="0"/>
              </a:rPr>
              <a:t>AVERAGE TREATMENT Amount</a:t>
            </a:r>
          </a:p>
          <a:p>
            <a:endParaRPr lang="en-US" sz="2000">
              <a:latin typeface="Algerian" panose="04020705040A02060702" pitchFamily="82" charset="0"/>
            </a:endParaRPr>
          </a:p>
        </xdr:txBody>
      </xdr:sp>
      <xdr:sp macro="" textlink="Treatment!I13">
        <xdr:nvSpPr>
          <xdr:cNvPr id="32" name="TextBox 31">
            <a:extLst>
              <a:ext uri="{FF2B5EF4-FFF2-40B4-BE49-F238E27FC236}">
                <a16:creationId xmlns:a16="http://schemas.microsoft.com/office/drawing/2014/main" id="{CB005E73-84FB-42C3-6571-E99288A629F2}"/>
              </a:ext>
            </a:extLst>
          </xdr:cNvPr>
          <xdr:cNvSpPr txBox="1"/>
        </xdr:nvSpPr>
        <xdr:spPr>
          <a:xfrm>
            <a:off x="836122" y="853440"/>
            <a:ext cx="1330036" cy="449580"/>
          </a:xfrm>
          <a:prstGeom prst="roundRect">
            <a:avLst/>
          </a:prstGeom>
          <a:solidFill>
            <a:schemeClr val="accent6">
              <a:lumMod val="5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77F41A-9502-4278-B9E6-21AB4D6BEB42}" type="TxLink">
              <a:rPr lang="en-US" sz="2400" b="0" i="0" u="none" strike="noStrike">
                <a:solidFill>
                  <a:srgbClr val="000000"/>
                </a:solidFill>
                <a:latin typeface="Berlin Sans FB Demi" panose="020E0802020502020306" pitchFamily="34" charset="0"/>
                <a:ea typeface="Calibri"/>
                <a:cs typeface="Calibri"/>
              </a:rPr>
              <a:t>2756.24925</a:t>
            </a:fld>
            <a:endParaRPr lang="en-US" sz="2400">
              <a:latin typeface="Berlin Sans FB Demi" panose="020E0802020502020306" pitchFamily="34" charset="0"/>
            </a:endParaRPr>
          </a:p>
        </xdr:txBody>
      </xdr:sp>
      <xdr:pic>
        <xdr:nvPicPr>
          <xdr:cNvPr id="33" name="Graphic 32" descr="Bar chart with solid fill">
            <a:extLst>
              <a:ext uri="{FF2B5EF4-FFF2-40B4-BE49-F238E27FC236}">
                <a16:creationId xmlns:a16="http://schemas.microsoft.com/office/drawing/2014/main" id="{EC976C6D-BE4B-B51D-EAFE-63F1424B8B5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13660" y="396240"/>
            <a:ext cx="419100" cy="419100"/>
          </a:xfrm>
          <a:prstGeom prst="rect">
            <a:avLst/>
          </a:prstGeom>
        </xdr:spPr>
      </xdr:pic>
    </xdr:grpSp>
    <xdr:clientData/>
  </xdr:twoCellAnchor>
  <xdr:twoCellAnchor>
    <xdr:from>
      <xdr:col>6</xdr:col>
      <xdr:colOff>482600</xdr:colOff>
      <xdr:row>20</xdr:row>
      <xdr:rowOff>114300</xdr:rowOff>
    </xdr:from>
    <xdr:to>
      <xdr:col>13</xdr:col>
      <xdr:colOff>307338</xdr:colOff>
      <xdr:row>44</xdr:row>
      <xdr:rowOff>88900</xdr:rowOff>
    </xdr:to>
    <xdr:graphicFrame macro="">
      <xdr:nvGraphicFramePr>
        <xdr:cNvPr id="3" name="Chart 2">
          <a:extLst>
            <a:ext uri="{FF2B5EF4-FFF2-40B4-BE49-F238E27FC236}">
              <a16:creationId xmlns:a16="http://schemas.microsoft.com/office/drawing/2014/main" id="{C06DCBFD-E850-480B-AA21-4700E6DD4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569686</xdr:colOff>
      <xdr:row>5</xdr:row>
      <xdr:rowOff>5444</xdr:rowOff>
    </xdr:from>
    <xdr:to>
      <xdr:col>37</xdr:col>
      <xdr:colOff>317500</xdr:colOff>
      <xdr:row>19</xdr:row>
      <xdr:rowOff>139700</xdr:rowOff>
    </xdr:to>
    <xdr:graphicFrame macro="">
      <xdr:nvGraphicFramePr>
        <xdr:cNvPr id="4" name="Chart 3">
          <a:extLst>
            <a:ext uri="{FF2B5EF4-FFF2-40B4-BE49-F238E27FC236}">
              <a16:creationId xmlns:a16="http://schemas.microsoft.com/office/drawing/2014/main" id="{F6A6C2E1-445C-4459-8275-37F785D53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553357</xdr:colOff>
      <xdr:row>20</xdr:row>
      <xdr:rowOff>25400</xdr:rowOff>
    </xdr:from>
    <xdr:to>
      <xdr:col>28</xdr:col>
      <xdr:colOff>342900</xdr:colOff>
      <xdr:row>44</xdr:row>
      <xdr:rowOff>50800</xdr:rowOff>
    </xdr:to>
    <xdr:graphicFrame macro="">
      <xdr:nvGraphicFramePr>
        <xdr:cNvPr id="6" name="Chart 5">
          <a:extLst>
            <a:ext uri="{FF2B5EF4-FFF2-40B4-BE49-F238E27FC236}">
              <a16:creationId xmlns:a16="http://schemas.microsoft.com/office/drawing/2014/main" id="{C22CD7CB-B313-45F4-AD13-AC873794A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462643</xdr:colOff>
      <xdr:row>19</xdr:row>
      <xdr:rowOff>174170</xdr:rowOff>
    </xdr:from>
    <xdr:to>
      <xdr:col>37</xdr:col>
      <xdr:colOff>299357</xdr:colOff>
      <xdr:row>43</xdr:row>
      <xdr:rowOff>177799</xdr:rowOff>
    </xdr:to>
    <xdr:graphicFrame macro="">
      <xdr:nvGraphicFramePr>
        <xdr:cNvPr id="8" name="Chart 7">
          <a:extLst>
            <a:ext uri="{FF2B5EF4-FFF2-40B4-BE49-F238E27FC236}">
              <a16:creationId xmlns:a16="http://schemas.microsoft.com/office/drawing/2014/main" id="{A583BD78-E0D6-450A-BEF0-0AC14EF23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317500</xdr:colOff>
      <xdr:row>20</xdr:row>
      <xdr:rowOff>101600</xdr:rowOff>
    </xdr:from>
    <xdr:to>
      <xdr:col>19</xdr:col>
      <xdr:colOff>489856</xdr:colOff>
      <xdr:row>44</xdr:row>
      <xdr:rowOff>45356</xdr:rowOff>
    </xdr:to>
    <xdr:graphicFrame macro="">
      <xdr:nvGraphicFramePr>
        <xdr:cNvPr id="21" name="Chart 20">
          <a:extLst>
            <a:ext uri="{FF2B5EF4-FFF2-40B4-BE49-F238E27FC236}">
              <a16:creationId xmlns:a16="http://schemas.microsoft.com/office/drawing/2014/main" id="{609108BB-6E1D-4D54-A6F1-CA5CF92B6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215900</xdr:colOff>
      <xdr:row>14</xdr:row>
      <xdr:rowOff>88900</xdr:rowOff>
    </xdr:from>
    <xdr:to>
      <xdr:col>6</xdr:col>
      <xdr:colOff>406400</xdr:colOff>
      <xdr:row>31</xdr:row>
      <xdr:rowOff>101600</xdr:rowOff>
    </xdr:to>
    <mc:AlternateContent xmlns:mc="http://schemas.openxmlformats.org/markup-compatibility/2006" xmlns:a14="http://schemas.microsoft.com/office/drawing/2010/main">
      <mc:Choice Requires="a14">
        <xdr:graphicFrame macro="">
          <xdr:nvGraphicFramePr>
            <xdr:cNvPr id="22" name="Full Name 1">
              <a:extLst>
                <a:ext uri="{FF2B5EF4-FFF2-40B4-BE49-F238E27FC236}">
                  <a16:creationId xmlns:a16="http://schemas.microsoft.com/office/drawing/2014/main" id="{A6243403-54C2-418D-9E44-96610B3FF649}"/>
                </a:ext>
              </a:extLst>
            </xdr:cNvPr>
            <xdr:cNvGraphicFramePr/>
          </xdr:nvGraphicFramePr>
          <xdr:xfrm>
            <a:off x="0" y="0"/>
            <a:ext cx="0" cy="0"/>
          </xdr:xfrm>
          <a:graphic>
            <a:graphicData uri="http://schemas.microsoft.com/office/drawing/2010/slicer">
              <sle:slicer xmlns:sle="http://schemas.microsoft.com/office/drawing/2010/slicer" name="Full Name 1"/>
            </a:graphicData>
          </a:graphic>
        </xdr:graphicFrame>
      </mc:Choice>
      <mc:Fallback xmlns="">
        <xdr:sp macro="" textlink="">
          <xdr:nvSpPr>
            <xdr:cNvPr id="0" name=""/>
            <xdr:cNvSpPr>
              <a:spLocks noTextEdit="1"/>
            </xdr:cNvSpPr>
          </xdr:nvSpPr>
          <xdr:spPr>
            <a:xfrm>
              <a:off x="330200" y="2628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457200</xdr:colOff>
      <xdr:row>32</xdr:row>
      <xdr:rowOff>12700</xdr:rowOff>
    </xdr:from>
    <xdr:to>
      <xdr:col>6</xdr:col>
      <xdr:colOff>457200</xdr:colOff>
      <xdr:row>44</xdr:row>
      <xdr:rowOff>101600</xdr:rowOff>
    </xdr:to>
    <mc:AlternateContent xmlns:mc="http://schemas.openxmlformats.org/markup-compatibility/2006">
      <mc:Choice xmlns:a14="http://schemas.microsoft.com/office/drawing/2010/main" Requires="a14">
        <xdr:graphicFrame macro="">
          <xdr:nvGraphicFramePr>
            <xdr:cNvPr id="25" name="Reason_For_Visit 1">
              <a:extLst>
                <a:ext uri="{FF2B5EF4-FFF2-40B4-BE49-F238E27FC236}">
                  <a16:creationId xmlns:a16="http://schemas.microsoft.com/office/drawing/2014/main" id="{1F1CABB7-39C3-477E-95C6-37A1C1F73C47}"/>
                </a:ext>
              </a:extLst>
            </xdr:cNvPr>
            <xdr:cNvGraphicFramePr/>
          </xdr:nvGraphicFramePr>
          <xdr:xfrm>
            <a:off x="0" y="0"/>
            <a:ext cx="0" cy="0"/>
          </xdr:xfrm>
          <a:graphic>
            <a:graphicData uri="http://schemas.microsoft.com/office/drawing/2010/slicer">
              <sle:slicer xmlns:sle="http://schemas.microsoft.com/office/drawing/2010/slicer" name="Reason_For_Visit 1"/>
            </a:graphicData>
          </a:graphic>
        </xdr:graphicFrame>
      </mc:Choice>
      <mc:Fallback>
        <xdr:sp macro="" textlink="">
          <xdr:nvSpPr>
            <xdr:cNvPr id="0" name=""/>
            <xdr:cNvSpPr>
              <a:spLocks noTextEdit="1"/>
            </xdr:cNvSpPr>
          </xdr:nvSpPr>
          <xdr:spPr>
            <a:xfrm>
              <a:off x="2286000" y="5702300"/>
              <a:ext cx="1828800" cy="222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165100</xdr:colOff>
      <xdr:row>31</xdr:row>
      <xdr:rowOff>165100</xdr:rowOff>
    </xdr:from>
    <xdr:to>
      <xdr:col>3</xdr:col>
      <xdr:colOff>342900</xdr:colOff>
      <xdr:row>44</xdr:row>
      <xdr:rowOff>88899</xdr:rowOff>
    </xdr:to>
    <mc:AlternateContent xmlns:mc="http://schemas.openxmlformats.org/markup-compatibility/2006">
      <mc:Choice xmlns:a14="http://schemas.microsoft.com/office/drawing/2010/main" Requires="a14">
        <xdr:graphicFrame macro="">
          <xdr:nvGraphicFramePr>
            <xdr:cNvPr id="27" name="Treatment_Type 1">
              <a:extLst>
                <a:ext uri="{FF2B5EF4-FFF2-40B4-BE49-F238E27FC236}">
                  <a16:creationId xmlns:a16="http://schemas.microsoft.com/office/drawing/2014/main" id="{27660AFD-C969-44CA-B858-3BDB2EA6F5B3}"/>
                </a:ext>
              </a:extLst>
            </xdr:cNvPr>
            <xdr:cNvGraphicFramePr/>
          </xdr:nvGraphicFramePr>
          <xdr:xfrm>
            <a:off x="0" y="0"/>
            <a:ext cx="0" cy="0"/>
          </xdr:xfrm>
          <a:graphic>
            <a:graphicData uri="http://schemas.microsoft.com/office/drawing/2010/slicer">
              <sle:slicer xmlns:sle="http://schemas.microsoft.com/office/drawing/2010/slicer" name="Treatment_Type 1"/>
            </a:graphicData>
          </a:graphic>
        </xdr:graphicFrame>
      </mc:Choice>
      <mc:Fallback>
        <xdr:sp macro="" textlink="">
          <xdr:nvSpPr>
            <xdr:cNvPr id="0" name=""/>
            <xdr:cNvSpPr>
              <a:spLocks noTextEdit="1"/>
            </xdr:cNvSpPr>
          </xdr:nvSpPr>
          <xdr:spPr>
            <a:xfrm>
              <a:off x="165100" y="5676900"/>
              <a:ext cx="2006600" cy="2235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495300</xdr:colOff>
      <xdr:row>14</xdr:row>
      <xdr:rowOff>50800</xdr:rowOff>
    </xdr:from>
    <xdr:to>
      <xdr:col>19</xdr:col>
      <xdr:colOff>457200</xdr:colOff>
      <xdr:row>20</xdr:row>
      <xdr:rowOff>76200</xdr:rowOff>
    </xdr:to>
    <mc:AlternateContent xmlns:mc="http://schemas.openxmlformats.org/markup-compatibility/2006">
      <mc:Choice xmlns:tsle="http://schemas.microsoft.com/office/drawing/2012/timeslicer" Requires="tsle">
        <xdr:graphicFrame macro="">
          <xdr:nvGraphicFramePr>
            <xdr:cNvPr id="2" name="Bill_Date">
              <a:extLst>
                <a:ext uri="{FF2B5EF4-FFF2-40B4-BE49-F238E27FC236}">
                  <a16:creationId xmlns:a16="http://schemas.microsoft.com/office/drawing/2014/main" id="{79AC83B9-AFD5-133A-ECB5-8F82D38DB432}"/>
                </a:ext>
              </a:extLst>
            </xdr:cNvPr>
            <xdr:cNvGraphicFramePr/>
          </xdr:nvGraphicFramePr>
          <xdr:xfrm>
            <a:off x="0" y="0"/>
            <a:ext cx="0" cy="0"/>
          </xdr:xfrm>
          <a:graphic>
            <a:graphicData uri="http://schemas.microsoft.com/office/drawing/2012/timeslicer">
              <tsle:timeslicer xmlns:tsle="http://schemas.microsoft.com/office/drawing/2012/timeslicer" name="Bill_Date"/>
            </a:graphicData>
          </a:graphic>
        </xdr:graphicFrame>
      </mc:Choice>
      <mc:Fallback>
        <xdr:sp macro="" textlink="">
          <xdr:nvSpPr>
            <xdr:cNvPr id="0" name=""/>
            <xdr:cNvSpPr>
              <a:spLocks noTextEdit="1"/>
            </xdr:cNvSpPr>
          </xdr:nvSpPr>
          <xdr:spPr>
            <a:xfrm>
              <a:off x="4152900" y="2540000"/>
              <a:ext cx="7886700" cy="10922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ED AFSAL" refreshedDate="46280.411829398145" backgroundQuery="1" createdVersion="8" refreshedVersion="8" minRefreshableVersion="3" recordCount="0" supportSubquery="1" supportAdvancedDrill="1" xr:uid="{542E29D0-F44E-4BB7-996B-59852E2B3F33}">
  <cacheSource type="external" connectionId="1"/>
  <cacheFields count="1">
    <cacheField name="[Range 4].[Full Name].[Full Name]" caption="Full Name" numFmtId="0" hierarchy="39" level="1">
      <sharedItems containsSemiMixedTypes="0" containsNonDate="0" containsString="0"/>
    </cacheField>
  </cacheFields>
  <cacheHierarchies count="58">
    <cacheHierarchy uniqueName="[Range].[Appointment_Id]" caption="Appointment_Id" attribute="1" defaultMemberUniqueName="[Range].[Appointment_Id].[All]" allUniqueName="[Range].[Appointment_Id].[All]" dimensionUniqueName="[Range]" displayFolder="" count="0" memberValueDatatype="130" unbalanced="0"/>
    <cacheHierarchy uniqueName="[Range].[Patient_Id]" caption="Patient_Id" attribute="1" defaultMemberUniqueName="[Range].[Patient_Id].[All]" allUniqueName="[Range].[Patient_Id].[All]" dimensionUniqueName="[Range]" displayFolder="" count="0" memberValueDatatype="130" unbalanced="0"/>
    <cacheHierarchy uniqueName="[Range].[Doctor_Id]" caption="Doctor_Id" attribute="1" defaultMemberUniqueName="[Range].[Doctor_Id].[All]" allUniqueName="[Range].[Doctor_Id].[All]" dimensionUniqueName="[Range]" displayFolder="" count="0" memberValueDatatype="130" unbalanced="0"/>
    <cacheHierarchy uniqueName="[Range].[Doctor Name]" caption="Doctor Name" attribute="1" defaultMemberUniqueName="[Range].[Doctor Name].[All]" allUniqueName="[Range].[Doctor Name].[All]" dimensionUniqueName="[Range]" displayFolder="" count="0" memberValueDatatype="130" unbalanced="0"/>
    <cacheHierarchy uniqueName="[Range].[Appointment_Date]" caption="Appointment_Date" attribute="1" time="1" defaultMemberUniqueName="[Range].[Appointment_Date].[All]" allUniqueName="[Range].[Appointment_Date].[All]" dimensionUniqueName="[Range]" displayFolder="" count="0" memberValueDatatype="7" unbalanced="0"/>
    <cacheHierarchy uniqueName="[Range].[Appointment_Time]" caption="Appointment_Time" attribute="1" time="1" defaultMemberUniqueName="[Range].[Appointment_Time].[All]" allUniqueName="[Range].[Appointment_Time].[All]" dimensionUniqueName="[Range]" displayFolder="" count="0" memberValueDatatype="7" unbalanced="0"/>
    <cacheHierarchy uniqueName="[Range].[Reason_For_Visit]" caption="Reason_For_Visit" attribute="1" defaultMemberUniqueName="[Range].[Reason_For_Visit].[All]" allUniqueName="[Range].[Reason_For_Visit].[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 1].[Bill_Id]" caption="Bill_Id" attribute="1" defaultMemberUniqueName="[Range 1].[Bill_Id].[All]" allUniqueName="[Range 1].[Bill_Id].[All]" dimensionUniqueName="[Range 1]" displayFolder="" count="0" memberValueDatatype="130" unbalanced="0"/>
    <cacheHierarchy uniqueName="[Range 1].[Patient_Id]" caption="Patient_Id" attribute="1" defaultMemberUniqueName="[Range 1].[Patient_Id].[All]" allUniqueName="[Range 1].[Patient_Id].[All]" dimensionUniqueName="[Range 1]" displayFolder="" count="0" memberValueDatatype="130" unbalanced="0"/>
    <cacheHierarchy uniqueName="[Range 1].[Doctor id]" caption="Doctor id" attribute="1" defaultMemberUniqueName="[Range 1].[Doctor id].[All]" allUniqueName="[Range 1].[Doctor id].[All]" dimensionUniqueName="[Range 1]" displayFolder="" count="0" memberValueDatatype="130" unbalanced="0"/>
    <cacheHierarchy uniqueName="[Range 1].[Doctor name]" caption="Doctor name" attribute="1" defaultMemberUniqueName="[Range 1].[Doctor name].[All]" allUniqueName="[Range 1].[Doctor name].[All]" dimensionUniqueName="[Range 1]" displayFolder="" count="0" memberValueDatatype="130" unbalanced="0"/>
    <cacheHierarchy uniqueName="[Range 1].[Treatment_Id]" caption="Treatment_Id" attribute="1" defaultMemberUniqueName="[Range 1].[Treatment_Id].[All]" allUniqueName="[Range 1].[Treatment_Id].[All]" dimensionUniqueName="[Range 1]" displayFolder="" count="0" memberValueDatatype="130" unbalanced="0"/>
    <cacheHierarchy uniqueName="[Range 1].[Treatment_Type]" caption="Treatment_Type" attribute="1" defaultMemberUniqueName="[Range 1].[Treatment_Type].[All]" allUniqueName="[Range 1].[Treatment_Type].[All]" dimensionUniqueName="[Range 1]" displayFolder="" count="2" memberValueDatatype="130" unbalanced="0"/>
    <cacheHierarchy uniqueName="[Range 1].[Bill_Date]" caption="Bill_Date" attribute="1" time="1" defaultMemberUniqueName="[Range 1].[Bill_Date].[All]" allUniqueName="[Range 1].[Bill_Date].[All]" dimensionUniqueName="[Range 1]" displayFolder="" count="0" memberValueDatatype="7" unbalanced="0"/>
    <cacheHierarchy uniqueName="[Range 1].[Month]" caption="Month" attribute="1" defaultMemberUniqueName="[Range 1].[Month].[All]" allUniqueName="[Range 1].[Month].[All]" dimensionUniqueName="[Range 1]" displayFolder="" count="2" memberValueDatatype="130" unbalanced="0"/>
    <cacheHierarchy uniqueName="[Range 1].[Amount]" caption="Amount" attribute="1" defaultMemberUniqueName="[Range 1].[Amount].[All]" allUniqueName="[Range 1].[Am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Payment_Status]" caption="Payment_Status" attribute="1" defaultMemberUniqueName="[Range 1].[Payment_Status].[All]" allUniqueName="[Range 1].[Payment_Status].[All]" dimensionUniqueName="[Range 1]" displayFolder="" count="0" memberValueDatatype="130" unbalanced="0"/>
    <cacheHierarchy uniqueName="[Range 2].[Patient_Id]" caption="Patient_Id" attribute="1" defaultMemberUniqueName="[Range 2].[Patient_Id].[All]" allUniqueName="[Range 2].[Patient_Id].[All]" dimensionUniqueName="[Range 2]" displayFolder="" count="0" memberValueDatatype="130" unbalanced="0"/>
    <cacheHierarchy uniqueName="[Range 2].[First_Name]" caption="First_Name" attribute="1" defaultMemberUniqueName="[Range 2].[First_Name].[All]" allUniqueName="[Range 2].[First_Name].[All]" dimensionUniqueName="[Range 2]" displayFolder="" count="0" memberValueDatatype="130" unbalanced="0"/>
    <cacheHierarchy uniqueName="[Range 2].[Last_Name]" caption="Last_Name" attribute="1" defaultMemberUniqueName="[Range 2].[Last_Name].[All]" allUniqueName="[Range 2].[Last_Nam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Date_Of_Birth]" caption="Date_Of_Birth" attribute="1" time="1" defaultMemberUniqueName="[Range 2].[Date_Of_Birth].[All]" allUniqueName="[Range 2].[Date_Of_Birth].[All]" dimensionUniqueName="[Range 2]" displayFolder="" count="0" memberValueDatatype="7" unbalanced="0"/>
    <cacheHierarchy uniqueName="[Range 2].[Contact_Number]" caption="Contact_Number" attribute="1" defaultMemberUniqueName="[Range 2].[Contact_Number].[All]" allUniqueName="[Range 2].[Contact_Number].[All]" dimensionUniqueName="[Range 2]" displayFolder="" count="0" memberValueDatatype="5" unbalanced="0"/>
    <cacheHierarchy uniqueName="[Range 2].[Address]" caption="Address" attribute="1" defaultMemberUniqueName="[Range 2].[Address].[All]" allUniqueName="[Range 2].[Address].[All]" dimensionUniqueName="[Range 2]" displayFolder="" count="0" memberValueDatatype="130" unbalanced="0"/>
    <cacheHierarchy uniqueName="[Range 2].[Registration_Date]" caption="Registration_Date" attribute="1" time="1" defaultMemberUniqueName="[Range 2].[Registration_Date].[All]" allUniqueName="[Range 2].[Registration_Date].[All]" dimensionUniqueName="[Range 2]" displayFolder="" count="0" memberValueDatatype="7" unbalanced="0"/>
    <cacheHierarchy uniqueName="[Range 2].[Insurance_Provider]" caption="Insurance_Provider" attribute="1" defaultMemberUniqueName="[Range 2].[Insurance_Provider].[All]" allUniqueName="[Range 2].[Insurance_Provider].[All]" dimensionUniqueName="[Range 2]" displayFolder="" count="0" memberValueDatatype="130" unbalanced="0"/>
    <cacheHierarchy uniqueName="[Range 2].[Insurance_Number]" caption="Insurance_Number" attribute="1" defaultMemberUniqueName="[Range 2].[Insurance_Number].[All]" allUniqueName="[Range 2].[Insurance_Number].[All]" dimensionUniqueName="[Range 2]" displayFolder="" count="0" memberValueDatatype="130" unbalanced="0"/>
    <cacheHierarchy uniqueName="[Range 2].[Email]" caption="Email" attribute="1" defaultMemberUniqueName="[Range 2].[Email].[All]" allUniqueName="[Range 2].[Email].[All]" dimensionUniqueName="[Range 2]" displayFolder="" count="0" memberValueDatatype="130" unbalanced="0"/>
    <cacheHierarchy uniqueName="[Range 3].[Treatment_Id]" caption="Treatment_Id" attribute="1" defaultMemberUniqueName="[Range 3].[Treatment_Id].[All]" allUniqueName="[Range 3].[Treatment_Id].[All]" dimensionUniqueName="[Range 3]" displayFolder="" count="0" memberValueDatatype="130" unbalanced="0"/>
    <cacheHierarchy uniqueName="[Range 3].[Appointment_Id]" caption="Appointment_Id" attribute="1" defaultMemberUniqueName="[Range 3].[Appointment_Id].[All]" allUniqueName="[Range 3].[Appointment_Id].[All]" dimensionUniqueName="[Range 3]" displayFolder="" count="0" memberValueDatatype="130" unbalanced="0"/>
    <cacheHierarchy uniqueName="[Range 3].[Treatment_Type]" caption="Treatment_Type" attribute="1" defaultMemberUniqueName="[Range 3].[Treatment_Type].[All]" allUniqueName="[Range 3].[Treatment_Type].[All]" dimensionUniqueName="[Range 3]" displayFolder="" count="0" memberValueDatatype="130" unbalanced="0"/>
    <cacheHierarchy uniqueName="[Range 3].[Description]" caption="Description" attribute="1" defaultMemberUniqueName="[Range 3].[Description].[All]" allUniqueName="[Range 3].[Description].[All]" dimensionUniqueName="[Range 3]" displayFolder="" count="0" memberValueDatatype="130" unbalanced="0"/>
    <cacheHierarchy uniqueName="[Range 3].[Cost]" caption="Cost" attribute="1" defaultMemberUniqueName="[Range 3].[Cost].[All]" allUniqueName="[Range 3].[Cost].[All]" dimensionUniqueName="[Range 3]" displayFolder="" count="0" memberValueDatatype="5" unbalanced="0"/>
    <cacheHierarchy uniqueName="[Range 3].[Treatment_Date]" caption="Treatment_Date" attribute="1" time="1" defaultMemberUniqueName="[Range 3].[Treatment_Date].[All]" allUniqueName="[Range 3].[Treatment_Date].[All]" dimensionUniqueName="[Range 3]" displayFolder="" count="0" memberValueDatatype="7" unbalanced="0"/>
    <cacheHierarchy uniqueName="[Range 4].[Doctor_Id]" caption="Doctor_Id" attribute="1" defaultMemberUniqueName="[Range 4].[Doctor_Id].[All]" allUniqueName="[Range 4].[Doctor_Id].[All]" dimensionUniqueName="[Range 4]" displayFolder="" count="0" memberValueDatatype="130" unbalanced="0"/>
    <cacheHierarchy uniqueName="[Range 4].[First_Name]" caption="First_Name" attribute="1" defaultMemberUniqueName="[Range 4].[First_Name].[All]" allUniqueName="[Range 4].[First_Name].[All]" dimensionUniqueName="[Range 4]" displayFolder="" count="0" memberValueDatatype="130" unbalanced="0"/>
    <cacheHierarchy uniqueName="[Range 4].[Last_Name]" caption="Last_Name" attribute="1" defaultMemberUniqueName="[Range 4].[Last_Name].[All]" allUniqueName="[Range 4].[Last_Name].[All]" dimensionUniqueName="[Range 4]" displayFolder="" count="0" memberValueDatatype="130" unbalanced="0"/>
    <cacheHierarchy uniqueName="[Range 4].[Full Name]" caption="Full Name" attribute="1" defaultMemberUniqueName="[Range 4].[Full Name].[All]" allUniqueName="[Range 4].[Full Name].[All]" dimensionUniqueName="[Range 4]" displayFolder="" count="2" memberValueDatatype="130" unbalanced="0">
      <fieldsUsage count="2">
        <fieldUsage x="-1"/>
        <fieldUsage x="0"/>
      </fieldsUsage>
    </cacheHierarchy>
    <cacheHierarchy uniqueName="[Range 4].[Specialization]" caption="Specialization" attribute="1" defaultMemberUniqueName="[Range 4].[Specialization].[All]" allUniqueName="[Range 4].[Specialization].[All]" dimensionUniqueName="[Range 4]" displayFolder="" count="0" memberValueDatatype="130" unbalanced="0"/>
    <cacheHierarchy uniqueName="[Range 4].[Phone_Number]" caption="Phone_Number" attribute="1" defaultMemberUniqueName="[Range 4].[Phone_Number].[All]" allUniqueName="[Range 4].[Phone_Number].[All]" dimensionUniqueName="[Range 4]" displayFolder="" count="0" memberValueDatatype="5" unbalanced="0"/>
    <cacheHierarchy uniqueName="[Range 4].[Years_Experience]" caption="Years_Experience" attribute="1" defaultMemberUniqueName="[Range 4].[Years_Experience].[All]" allUniqueName="[Range 4].[Years_Experience].[All]" dimensionUniqueName="[Range 4]" displayFolder="" count="0" memberValueDatatype="20" unbalanced="0"/>
    <cacheHierarchy uniqueName="[Range 4].[Hospital_Branch]" caption="Hospital_Branch" attribute="1" defaultMemberUniqueName="[Range 4].[Hospital_Branch].[All]" allUniqueName="[Range 4].[Hospital_Branch].[All]" dimensionUniqueName="[Range 4]" displayFolder="" count="0" memberValueDatatype="130" unbalanced="0"/>
    <cacheHierarchy uniqueName="[Range 4].[Email]" caption="Email" attribute="1" defaultMemberUniqueName="[Range 4].[Email].[All]" allUniqueName="[Range 4].[Email].[All]" dimensionUniqueName="[Range 4]"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Count of Appointment_Id]" caption="Count of Appointment_Id" measure="1" displayFolder="" measureGroup="Range" count="0" hidden="1">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1" count="0" hidden="1">
      <extLst>
        <ext xmlns:x15="http://schemas.microsoft.com/office/spreadsheetml/2010/11/main" uri="{B97F6D7D-B522-45F9-BDA1-12C45D357490}">
          <x15:cacheHierarchy aggregatedColumn="16"/>
        </ext>
      </extLst>
    </cacheHierarchy>
    <cacheHierarchy uniqueName="[Measures].[Count of Patient_Id 2]" caption="Count of Patient_Id 2" measure="1" displayFolder="" measureGroup="Range 1" count="0" hidden="1">
      <extLst>
        <ext xmlns:x15="http://schemas.microsoft.com/office/spreadsheetml/2010/11/main" uri="{B97F6D7D-B522-45F9-BDA1-12C45D357490}">
          <x15:cacheHierarchy aggregatedColumn="9"/>
        </ext>
      </extLst>
    </cacheHierarchy>
    <cacheHierarchy uniqueName="[Measures].[Count of Patient_Id 3]" caption="Count of Patient_Id 3" measure="1" displayFolder="" measureGroup="Range 2" count="0" hidden="1">
      <extLst>
        <ext xmlns:x15="http://schemas.microsoft.com/office/spreadsheetml/2010/11/main" uri="{B97F6D7D-B522-45F9-BDA1-12C45D357490}">
          <x15:cacheHierarchy aggregatedColumn="19"/>
        </ext>
      </extLst>
    </cacheHierarchy>
    <cacheHierarchy uniqueName="[Measures].[Count of Treatment_Id]" caption="Count of Treatment_Id" measure="1" displayFolder="" measureGroup="Range 1" count="0" hidden="1">
      <extLst>
        <ext xmlns:x15="http://schemas.microsoft.com/office/spreadsheetml/2010/11/main" uri="{B97F6D7D-B522-45F9-BDA1-12C45D357490}">
          <x15:cacheHierarchy aggregatedColumn="12"/>
        </ext>
      </extLst>
    </cacheHierarchy>
    <cacheHierarchy uniqueName="[Measures].[Count of Appointment_Id 2]" caption="Count of Appointment_Id 2" measure="1" displayFolder="" measureGroup="Range 3" count="0" hidden="1">
      <extLst>
        <ext xmlns:x15="http://schemas.microsoft.com/office/spreadsheetml/2010/11/main" uri="{B97F6D7D-B522-45F9-BDA1-12C45D357490}">
          <x15:cacheHierarchy aggregatedColumn="31"/>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12">
    <map measureGroup="0" dimension="1"/>
    <map measureGroup="0" dimension="3"/>
    <map measureGroup="0" dimension="5"/>
    <map measureGroup="1" dimension="2"/>
    <map measureGroup="1" dimension="3"/>
    <map measureGroup="1" dimension="5"/>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ED AFSAL" refreshedDate="46280.422345023151" createdVersion="5" refreshedVersion="8" minRefreshableVersion="3" recordCount="0" supportSubquery="1" supportAdvancedDrill="1" xr:uid="{85DC4C56-0A30-4A4C-A8A4-842E12DCF76D}">
  <cacheSource type="external" connectionId="1"/>
  <cacheFields count="3">
    <cacheField name="[Measures].[Sum of Amount]" caption="Sum of Amount" numFmtId="0" hierarchy="53" level="32767"/>
    <cacheField name="[Range 1].[Month].[Month]" caption="Month" numFmtId="0" hierarchy="15" level="1">
      <sharedItems count="12">
        <s v="April-2023"/>
        <s v="August-2023"/>
        <s v="December-2023"/>
        <s v="February-2023"/>
        <s v="January-2023"/>
        <s v="July-2023"/>
        <s v="June-2023"/>
        <s v="March-2023"/>
        <s v="May-2023"/>
        <s v="November-2023"/>
        <s v="October-2023"/>
        <s v="September-2023"/>
      </sharedItems>
    </cacheField>
    <cacheField name="[Range 1].[Bill_Date].[Bill_Date]" caption="Bill_Date" numFmtId="0" hierarchy="14" level="1">
      <sharedItems containsSemiMixedTypes="0" containsNonDate="0" containsString="0"/>
    </cacheField>
  </cacheFields>
  <cacheHierarchies count="58">
    <cacheHierarchy uniqueName="[Range].[Appointment_Id]" caption="Appointment_Id" attribute="1" defaultMemberUniqueName="[Range].[Appointment_Id].[All]" allUniqueName="[Range].[Appointment_Id].[All]" dimensionUniqueName="[Range]" displayFolder="" count="2" memberValueDatatype="130" unbalanced="0"/>
    <cacheHierarchy uniqueName="[Range].[Patient_Id]" caption="Patient_Id" attribute="1" defaultMemberUniqueName="[Range].[Patient_Id].[All]" allUniqueName="[Range].[Patient_Id].[All]" dimensionUniqueName="[Range]" displayFolder="" count="2" memberValueDatatype="130" unbalanced="0"/>
    <cacheHierarchy uniqueName="[Range].[Doctor_Id]" caption="Doctor_Id" attribute="1" defaultMemberUniqueName="[Range].[Doctor_Id].[All]" allUniqueName="[Range].[Doctor_Id].[All]" dimensionUniqueName="[Range]" displayFolder="" count="2" memberValueDatatype="130" unbalanced="0"/>
    <cacheHierarchy uniqueName="[Range].[Doctor Name]" caption="Doctor Name" attribute="1" defaultMemberUniqueName="[Range].[Doctor Name].[All]" allUniqueName="[Range].[Doctor Name].[All]" dimensionUniqueName="[Range]" displayFolder="" count="2" memberValueDatatype="130" unbalanced="0"/>
    <cacheHierarchy uniqueName="[Range].[Appointment_Date]" caption="Appointment_Date" attribute="1" time="1" defaultMemberUniqueName="[Range].[Appointment_Date].[All]" allUniqueName="[Range].[Appointment_Date].[All]" dimensionUniqueName="[Range]" displayFolder="" count="2" memberValueDatatype="7" unbalanced="0"/>
    <cacheHierarchy uniqueName="[Range].[Appointment_Time]" caption="Appointment_Time" attribute="1" time="1" defaultMemberUniqueName="[Range].[Appointment_Time].[All]" allUniqueName="[Range].[Appointment_Time].[All]" dimensionUniqueName="[Range]" displayFolder="" count="2" memberValueDatatype="7" unbalanced="0"/>
    <cacheHierarchy uniqueName="[Range].[Reason_For_Visit]" caption="Reason_For_Visit" attribute="1" defaultMemberUniqueName="[Range].[Reason_For_Visit].[All]" allUniqueName="[Range].[Reason_For_Visit].[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cacheHierarchy uniqueName="[Range 1].[Bill_Id]" caption="Bill_Id" attribute="1" defaultMemberUniqueName="[Range 1].[Bill_Id].[All]" allUniqueName="[Range 1].[Bill_Id].[All]" dimensionUniqueName="[Range 1]" displayFolder="" count="2" memberValueDatatype="130" unbalanced="0"/>
    <cacheHierarchy uniqueName="[Range 1].[Patient_Id]" caption="Patient_Id" attribute="1" defaultMemberUniqueName="[Range 1].[Patient_Id].[All]" allUniqueName="[Range 1].[Patient_Id].[All]" dimensionUniqueName="[Range 1]" displayFolder="" count="2" memberValueDatatype="130" unbalanced="0"/>
    <cacheHierarchy uniqueName="[Range 1].[Doctor id]" caption="Doctor id" attribute="1" defaultMemberUniqueName="[Range 1].[Doctor id].[All]" allUniqueName="[Range 1].[Doctor id].[All]" dimensionUniqueName="[Range 1]" displayFolder="" count="2" memberValueDatatype="130" unbalanced="0"/>
    <cacheHierarchy uniqueName="[Range 1].[Doctor name]" caption="Doctor name" attribute="1" defaultMemberUniqueName="[Range 1].[Doctor name].[All]" allUniqueName="[Range 1].[Doctor name].[All]" dimensionUniqueName="[Range 1]" displayFolder="" count="2" memberValueDatatype="130" unbalanced="0"/>
    <cacheHierarchy uniqueName="[Range 1].[Treatment_Id]" caption="Treatment_Id" attribute="1" defaultMemberUniqueName="[Range 1].[Treatment_Id].[All]" allUniqueName="[Range 1].[Treatment_Id].[All]" dimensionUniqueName="[Range 1]" displayFolder="" count="2" memberValueDatatype="130" unbalanced="0"/>
    <cacheHierarchy uniqueName="[Range 1].[Treatment_Type]" caption="Treatment_Type" attribute="1" defaultMemberUniqueName="[Range 1].[Treatment_Type].[All]" allUniqueName="[Range 1].[Treatment_Type].[All]" dimensionUniqueName="[Range 1]" displayFolder="" count="2" memberValueDatatype="130" unbalanced="0"/>
    <cacheHierarchy uniqueName="[Range 1].[Bill_Date]" caption="Bill_Date" attribute="1" time="1" defaultMemberUniqueName="[Range 1].[Bill_Date].[All]" allUniqueName="[Range 1].[Bill_Date].[All]" dimensionUniqueName="[Range 1]" displayFolder="" count="2" memberValueDatatype="7" unbalanced="0">
      <fieldsUsage count="2">
        <fieldUsage x="-1"/>
        <fieldUsage x="2"/>
      </fieldsUsage>
    </cacheHierarchy>
    <cacheHierarchy uniqueName="[Range 1].[Month]" caption="Month" attribute="1" defaultMemberUniqueName="[Range 1].[Month].[All]" allUniqueName="[Range 1].[Month].[All]" dimensionUniqueName="[Range 1]" displayFolder="" count="2" memberValueDatatype="130" unbalanced="0">
      <fieldsUsage count="2">
        <fieldUsage x="-1"/>
        <fieldUsage x="1"/>
      </fieldsUsage>
    </cacheHierarchy>
    <cacheHierarchy uniqueName="[Range 1].[Amount]" caption="Amount" attribute="1" defaultMemberUniqueName="[Range 1].[Amount].[All]" allUniqueName="[Range 1].[Amount].[All]" dimensionUniqueName="[Range 1]" displayFolder="" count="2" memberValueDatatype="5" unbalanced="0"/>
    <cacheHierarchy uniqueName="[Range 1].[Payment_Method]" caption="Payment_Method" attribute="1" defaultMemberUniqueName="[Range 1].[Payment_Method].[All]" allUniqueName="[Range 1].[Payment_Method].[All]" dimensionUniqueName="[Range 1]" displayFolder="" count="2" memberValueDatatype="130" unbalanced="0"/>
    <cacheHierarchy uniqueName="[Range 1].[Payment_Status]" caption="Payment_Status" attribute="1" defaultMemberUniqueName="[Range 1].[Payment_Status].[All]" allUniqueName="[Range 1].[Payment_Status].[All]" dimensionUniqueName="[Range 1]" displayFolder="" count="2" memberValueDatatype="130" unbalanced="0"/>
    <cacheHierarchy uniqueName="[Range 2].[Patient_Id]" caption="Patient_Id" attribute="1" defaultMemberUniqueName="[Range 2].[Patient_Id].[All]" allUniqueName="[Range 2].[Patient_Id].[All]" dimensionUniqueName="[Range 2]" displayFolder="" count="2" memberValueDatatype="130" unbalanced="0"/>
    <cacheHierarchy uniqueName="[Range 2].[First_Name]" caption="First_Name" attribute="1" defaultMemberUniqueName="[Range 2].[First_Name].[All]" allUniqueName="[Range 2].[First_Name].[All]" dimensionUniqueName="[Range 2]" displayFolder="" count="2" memberValueDatatype="130" unbalanced="0"/>
    <cacheHierarchy uniqueName="[Range 2].[Last_Name]" caption="Last_Name" attribute="1" defaultMemberUniqueName="[Range 2].[Last_Name].[All]" allUniqueName="[Range 2].[Last_Name].[All]" dimensionUniqueName="[Range 2]" displayFolder="" count="2" memberValueDatatype="130" unbalanced="0"/>
    <cacheHierarchy uniqueName="[Range 2].[Gender]" caption="Gender" attribute="1" defaultMemberUniqueName="[Range 2].[Gender].[All]" allUniqueName="[Range 2].[Gender].[All]" dimensionUniqueName="[Range 2]" displayFolder="" count="2" memberValueDatatype="130" unbalanced="0"/>
    <cacheHierarchy uniqueName="[Range 2].[Date_Of_Birth]" caption="Date_Of_Birth" attribute="1" time="1" defaultMemberUniqueName="[Range 2].[Date_Of_Birth].[All]" allUniqueName="[Range 2].[Date_Of_Birth].[All]" dimensionUniqueName="[Range 2]" displayFolder="" count="2" memberValueDatatype="7" unbalanced="0"/>
    <cacheHierarchy uniqueName="[Range 2].[Contact_Number]" caption="Contact_Number" attribute="1" defaultMemberUniqueName="[Range 2].[Contact_Number].[All]" allUniqueName="[Range 2].[Contact_Number].[All]" dimensionUniqueName="[Range 2]" displayFolder="" count="2" memberValueDatatype="5" unbalanced="0"/>
    <cacheHierarchy uniqueName="[Range 2].[Address]" caption="Address" attribute="1" defaultMemberUniqueName="[Range 2].[Address].[All]" allUniqueName="[Range 2].[Address].[All]" dimensionUniqueName="[Range 2]" displayFolder="" count="2" memberValueDatatype="130" unbalanced="0"/>
    <cacheHierarchy uniqueName="[Range 2].[Registration_Date]" caption="Registration_Date" attribute="1" time="1" defaultMemberUniqueName="[Range 2].[Registration_Date].[All]" allUniqueName="[Range 2].[Registration_Date].[All]" dimensionUniqueName="[Range 2]" displayFolder="" count="2" memberValueDatatype="7" unbalanced="0"/>
    <cacheHierarchy uniqueName="[Range 2].[Insurance_Provider]" caption="Insurance_Provider" attribute="1" defaultMemberUniqueName="[Range 2].[Insurance_Provider].[All]" allUniqueName="[Range 2].[Insurance_Provider].[All]" dimensionUniqueName="[Range 2]" displayFolder="" count="2" memberValueDatatype="130" unbalanced="0"/>
    <cacheHierarchy uniqueName="[Range 2].[Insurance_Number]" caption="Insurance_Number" attribute="1" defaultMemberUniqueName="[Range 2].[Insurance_Number].[All]" allUniqueName="[Range 2].[Insurance_Number].[All]" dimensionUniqueName="[Range 2]" displayFolder="" count="2" memberValueDatatype="130" unbalanced="0"/>
    <cacheHierarchy uniqueName="[Range 2].[Email]" caption="Email" attribute="1" defaultMemberUniqueName="[Range 2].[Email].[All]" allUniqueName="[Range 2].[Email].[All]" dimensionUniqueName="[Range 2]" displayFolder="" count="2" memberValueDatatype="130" unbalanced="0"/>
    <cacheHierarchy uniqueName="[Range 3].[Treatment_Id]" caption="Treatment_Id" attribute="1" defaultMemberUniqueName="[Range 3].[Treatment_Id].[All]" allUniqueName="[Range 3].[Treatment_Id].[All]" dimensionUniqueName="[Range 3]" displayFolder="" count="2" memberValueDatatype="130" unbalanced="0"/>
    <cacheHierarchy uniqueName="[Range 3].[Appointment_Id]" caption="Appointment_Id" attribute="1" defaultMemberUniqueName="[Range 3].[Appointment_Id].[All]" allUniqueName="[Range 3].[Appointment_Id].[All]" dimensionUniqueName="[Range 3]" displayFolder="" count="2" memberValueDatatype="130" unbalanced="0"/>
    <cacheHierarchy uniqueName="[Range 3].[Treatment_Type]" caption="Treatment_Type" attribute="1" defaultMemberUniqueName="[Range 3].[Treatment_Type].[All]" allUniqueName="[Range 3].[Treatment_Type].[All]" dimensionUniqueName="[Range 3]" displayFolder="" count="2" memberValueDatatype="130" unbalanced="0"/>
    <cacheHierarchy uniqueName="[Range 3].[Description]" caption="Description" attribute="1" defaultMemberUniqueName="[Range 3].[Description].[All]" allUniqueName="[Range 3].[Description].[All]" dimensionUniqueName="[Range 3]" displayFolder="" count="2" memberValueDatatype="130" unbalanced="0"/>
    <cacheHierarchy uniqueName="[Range 3].[Cost]" caption="Cost" attribute="1" defaultMemberUniqueName="[Range 3].[Cost].[All]" allUniqueName="[Range 3].[Cost].[All]" dimensionUniqueName="[Range 3]" displayFolder="" count="2" memberValueDatatype="5" unbalanced="0"/>
    <cacheHierarchy uniqueName="[Range 3].[Treatment_Date]" caption="Treatment_Date" attribute="1" time="1" defaultMemberUniqueName="[Range 3].[Treatment_Date].[All]" allUniqueName="[Range 3].[Treatment_Date].[All]" dimensionUniqueName="[Range 3]" displayFolder="" count="2" memberValueDatatype="7" unbalanced="0"/>
    <cacheHierarchy uniqueName="[Range 4].[Doctor_Id]" caption="Doctor_Id" attribute="1" defaultMemberUniqueName="[Range 4].[Doctor_Id].[All]" allUniqueName="[Range 4].[Doctor_Id].[All]" dimensionUniqueName="[Range 4]" displayFolder="" count="2" memberValueDatatype="130" unbalanced="0"/>
    <cacheHierarchy uniqueName="[Range 4].[First_Name]" caption="First_Name" attribute="1" defaultMemberUniqueName="[Range 4].[First_Name].[All]" allUniqueName="[Range 4].[First_Name].[All]" dimensionUniqueName="[Range 4]" displayFolder="" count="2" memberValueDatatype="130" unbalanced="0"/>
    <cacheHierarchy uniqueName="[Range 4].[Last_Name]" caption="Last_Name" attribute="1" defaultMemberUniqueName="[Range 4].[Last_Name].[All]" allUniqueName="[Range 4].[Last_Name].[All]" dimensionUniqueName="[Range 4]" displayFolder="" count="2" memberValueDatatype="130" unbalanced="0"/>
    <cacheHierarchy uniqueName="[Range 4].[Full Name]" caption="Full Name" attribute="1" defaultMemberUniqueName="[Range 4].[Full Name].[All]" allUniqueName="[Range 4].[Full Name].[All]" dimensionUniqueName="[Range 4]" displayFolder="" count="2" memberValueDatatype="130" unbalanced="0"/>
    <cacheHierarchy uniqueName="[Range 4].[Specialization]" caption="Specialization" attribute="1" defaultMemberUniqueName="[Range 4].[Specialization].[All]" allUniqueName="[Range 4].[Specialization].[All]" dimensionUniqueName="[Range 4]" displayFolder="" count="2" memberValueDatatype="130" unbalanced="0"/>
    <cacheHierarchy uniqueName="[Range 4].[Phone_Number]" caption="Phone_Number" attribute="1" defaultMemberUniqueName="[Range 4].[Phone_Number].[All]" allUniqueName="[Range 4].[Phone_Number].[All]" dimensionUniqueName="[Range 4]" displayFolder="" count="2" memberValueDatatype="5" unbalanced="0"/>
    <cacheHierarchy uniqueName="[Range 4].[Years_Experience]" caption="Years_Experience" attribute="1" defaultMemberUniqueName="[Range 4].[Years_Experience].[All]" allUniqueName="[Range 4].[Years_Experience].[All]" dimensionUniqueName="[Range 4]" displayFolder="" count="2" memberValueDatatype="20" unbalanced="0"/>
    <cacheHierarchy uniqueName="[Range 4].[Hospital_Branch]" caption="Hospital_Branch" attribute="1" defaultMemberUniqueName="[Range 4].[Hospital_Branch].[All]" allUniqueName="[Range 4].[Hospital_Branch].[All]" dimensionUniqueName="[Range 4]" displayFolder="" count="2" memberValueDatatype="130" unbalanced="0"/>
    <cacheHierarchy uniqueName="[Range 4].[Email]" caption="Email" attribute="1" defaultMemberUniqueName="[Range 4].[Email].[All]" allUniqueName="[Range 4].[Email].[All]" dimensionUniqueName="[Range 4]" displayFolder="" count="2"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Count of Appointment_Id]" caption="Count of Appointment_Id" measure="1" displayFolder="" measureGroup="Range" count="0" hidden="1">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1"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Patient_Id 2]" caption="Count of Patient_Id 2" measure="1" displayFolder="" measureGroup="Range 1" count="0" hidden="1">
      <extLst>
        <ext xmlns:x15="http://schemas.microsoft.com/office/spreadsheetml/2010/11/main" uri="{B97F6D7D-B522-45F9-BDA1-12C45D357490}">
          <x15:cacheHierarchy aggregatedColumn="9"/>
        </ext>
      </extLst>
    </cacheHierarchy>
    <cacheHierarchy uniqueName="[Measures].[Count of Patient_Id 3]" caption="Count of Patient_Id 3" measure="1" displayFolder="" measureGroup="Range 2" count="0" hidden="1">
      <extLst>
        <ext xmlns:x15="http://schemas.microsoft.com/office/spreadsheetml/2010/11/main" uri="{B97F6D7D-B522-45F9-BDA1-12C45D357490}">
          <x15:cacheHierarchy aggregatedColumn="19"/>
        </ext>
      </extLst>
    </cacheHierarchy>
    <cacheHierarchy uniqueName="[Measures].[Count of Treatment_Id]" caption="Count of Treatment_Id" measure="1" displayFolder="" measureGroup="Range 1" count="0" hidden="1">
      <extLst>
        <ext xmlns:x15="http://schemas.microsoft.com/office/spreadsheetml/2010/11/main" uri="{B97F6D7D-B522-45F9-BDA1-12C45D357490}">
          <x15:cacheHierarchy aggregatedColumn="12"/>
        </ext>
      </extLst>
    </cacheHierarchy>
    <cacheHierarchy uniqueName="[Measures].[Count of Appointment_Id 2]" caption="Count of Appointment_Id 2" measure="1" displayFolder="" measureGroup="Range 3" count="0" hidden="1">
      <extLst>
        <ext xmlns:x15="http://schemas.microsoft.com/office/spreadsheetml/2010/11/main" uri="{B97F6D7D-B522-45F9-BDA1-12C45D357490}">
          <x15:cacheHierarchy aggregatedColumn="31"/>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12">
    <map measureGroup="0" dimension="1"/>
    <map measureGroup="0" dimension="3"/>
    <map measureGroup="0" dimension="5"/>
    <map measureGroup="1" dimension="2"/>
    <map measureGroup="1" dimension="3"/>
    <map measureGroup="1" dimension="5"/>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ED AFSAL" refreshedDate="46280.422345370367" createdVersion="5" refreshedVersion="8" minRefreshableVersion="3" recordCount="0" supportSubquery="1" supportAdvancedDrill="1" xr:uid="{9015D349-A568-4345-9AFC-9406B5D4E59A}">
  <cacheSource type="external" connectionId="1"/>
  <cacheFields count="3">
    <cacheField name="[Range 4].[Full Name].[Full Name]" caption="Full Name" numFmtId="0" hierarchy="39" level="1">
      <sharedItems count="10">
        <s v="Alex Davis"/>
        <s v="David Jones"/>
        <s v="David Taylor"/>
        <s v="Jane Davis"/>
        <s v="Jane Smith"/>
        <s v="Linda Brown"/>
        <s v="Linda Wilson"/>
        <s v="Robert Davis"/>
        <s v="Sarah Smith"/>
        <s v="Sarah Taylor"/>
      </sharedItems>
    </cacheField>
    <cacheField name="[Measures].[Count of Appointment_Id]" caption="Count of Appointment_Id" numFmtId="0" hierarchy="51" level="32767"/>
    <cacheField name="[Range 1].[Bill_Date].[Bill_Date]" caption="Bill_Date" numFmtId="0" hierarchy="14" level="1">
      <sharedItems containsSemiMixedTypes="0" containsNonDate="0" containsString="0"/>
    </cacheField>
  </cacheFields>
  <cacheHierarchies count="58">
    <cacheHierarchy uniqueName="[Range].[Appointment_Id]" caption="Appointment_Id" attribute="1" defaultMemberUniqueName="[Range].[Appointment_Id].[All]" allUniqueName="[Range].[Appointment_Id].[All]" dimensionUniqueName="[Range]" displayFolder="" count="2" memberValueDatatype="130" unbalanced="0"/>
    <cacheHierarchy uniqueName="[Range].[Patient_Id]" caption="Patient_Id" attribute="1" defaultMemberUniqueName="[Range].[Patient_Id].[All]" allUniqueName="[Range].[Patient_Id].[All]" dimensionUniqueName="[Range]" displayFolder="" count="2" memberValueDatatype="130" unbalanced="0"/>
    <cacheHierarchy uniqueName="[Range].[Doctor_Id]" caption="Doctor_Id" attribute="1" defaultMemberUniqueName="[Range].[Doctor_Id].[All]" allUniqueName="[Range].[Doctor_Id].[All]" dimensionUniqueName="[Range]" displayFolder="" count="2" memberValueDatatype="130" unbalanced="0"/>
    <cacheHierarchy uniqueName="[Range].[Doctor Name]" caption="Doctor Name" attribute="1" defaultMemberUniqueName="[Range].[Doctor Name].[All]" allUniqueName="[Range].[Doctor Name].[All]" dimensionUniqueName="[Range]" displayFolder="" count="2" memberValueDatatype="130" unbalanced="0"/>
    <cacheHierarchy uniqueName="[Range].[Appointment_Date]" caption="Appointment_Date" attribute="1" time="1" defaultMemberUniqueName="[Range].[Appointment_Date].[All]" allUniqueName="[Range].[Appointment_Date].[All]" dimensionUniqueName="[Range]" displayFolder="" count="2" memberValueDatatype="7" unbalanced="0"/>
    <cacheHierarchy uniqueName="[Range].[Appointment_Time]" caption="Appointment_Time" attribute="1" time="1" defaultMemberUniqueName="[Range].[Appointment_Time].[All]" allUniqueName="[Range].[Appointment_Time].[All]" dimensionUniqueName="[Range]" displayFolder="" count="2" memberValueDatatype="7" unbalanced="0"/>
    <cacheHierarchy uniqueName="[Range].[Reason_For_Visit]" caption="Reason_For_Visit" attribute="1" defaultMemberUniqueName="[Range].[Reason_For_Visit].[All]" allUniqueName="[Range].[Reason_For_Visit].[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cacheHierarchy uniqueName="[Range 1].[Bill_Id]" caption="Bill_Id" attribute="1" defaultMemberUniqueName="[Range 1].[Bill_Id].[All]" allUniqueName="[Range 1].[Bill_Id].[All]" dimensionUniqueName="[Range 1]" displayFolder="" count="2" memberValueDatatype="130" unbalanced="0"/>
    <cacheHierarchy uniqueName="[Range 1].[Patient_Id]" caption="Patient_Id" attribute="1" defaultMemberUniqueName="[Range 1].[Patient_Id].[All]" allUniqueName="[Range 1].[Patient_Id].[All]" dimensionUniqueName="[Range 1]" displayFolder="" count="2" memberValueDatatype="130" unbalanced="0"/>
    <cacheHierarchy uniqueName="[Range 1].[Doctor id]" caption="Doctor id" attribute="1" defaultMemberUniqueName="[Range 1].[Doctor id].[All]" allUniqueName="[Range 1].[Doctor id].[All]" dimensionUniqueName="[Range 1]" displayFolder="" count="2" memberValueDatatype="130" unbalanced="0"/>
    <cacheHierarchy uniqueName="[Range 1].[Doctor name]" caption="Doctor name" attribute="1" defaultMemberUniqueName="[Range 1].[Doctor name].[All]" allUniqueName="[Range 1].[Doctor name].[All]" dimensionUniqueName="[Range 1]" displayFolder="" count="2" memberValueDatatype="130" unbalanced="0"/>
    <cacheHierarchy uniqueName="[Range 1].[Treatment_Id]" caption="Treatment_Id" attribute="1" defaultMemberUniqueName="[Range 1].[Treatment_Id].[All]" allUniqueName="[Range 1].[Treatment_Id].[All]" dimensionUniqueName="[Range 1]" displayFolder="" count="2" memberValueDatatype="130" unbalanced="0"/>
    <cacheHierarchy uniqueName="[Range 1].[Treatment_Type]" caption="Treatment_Type" attribute="1" defaultMemberUniqueName="[Range 1].[Treatment_Type].[All]" allUniqueName="[Range 1].[Treatment_Type].[All]" dimensionUniqueName="[Range 1]" displayFolder="" count="2" memberValueDatatype="130" unbalanced="0"/>
    <cacheHierarchy uniqueName="[Range 1].[Bill_Date]" caption="Bill_Date" attribute="1" time="1" defaultMemberUniqueName="[Range 1].[Bill_Date].[All]" allUniqueName="[Range 1].[Bill_Date].[All]" dimensionUniqueName="[Range 1]" displayFolder="" count="2" memberValueDatatype="7" unbalanced="0">
      <fieldsUsage count="2">
        <fieldUsage x="-1"/>
        <fieldUsage x="2"/>
      </fieldsUsage>
    </cacheHierarchy>
    <cacheHierarchy uniqueName="[Range 1].[Month]" caption="Month" attribute="1" defaultMemberUniqueName="[Range 1].[Month].[All]" allUniqueName="[Range 1].[Month].[All]" dimensionUniqueName="[Range 1]" displayFolder="" count="2" memberValueDatatype="130" unbalanced="0"/>
    <cacheHierarchy uniqueName="[Range 1].[Amount]" caption="Amount" attribute="1" defaultMemberUniqueName="[Range 1].[Amount].[All]" allUniqueName="[Range 1].[Amount].[All]" dimensionUniqueName="[Range 1]" displayFolder="" count="2" memberValueDatatype="5" unbalanced="0"/>
    <cacheHierarchy uniqueName="[Range 1].[Payment_Method]" caption="Payment_Method" attribute="1" defaultMemberUniqueName="[Range 1].[Payment_Method].[All]" allUniqueName="[Range 1].[Payment_Method].[All]" dimensionUniqueName="[Range 1]" displayFolder="" count="2" memberValueDatatype="130" unbalanced="0"/>
    <cacheHierarchy uniqueName="[Range 1].[Payment_Status]" caption="Payment_Status" attribute="1" defaultMemberUniqueName="[Range 1].[Payment_Status].[All]" allUniqueName="[Range 1].[Payment_Status].[All]" dimensionUniqueName="[Range 1]" displayFolder="" count="2" memberValueDatatype="130" unbalanced="0"/>
    <cacheHierarchy uniqueName="[Range 2].[Patient_Id]" caption="Patient_Id" attribute="1" defaultMemberUniqueName="[Range 2].[Patient_Id].[All]" allUniqueName="[Range 2].[Patient_Id].[All]" dimensionUniqueName="[Range 2]" displayFolder="" count="2" memberValueDatatype="130" unbalanced="0"/>
    <cacheHierarchy uniqueName="[Range 2].[First_Name]" caption="First_Name" attribute="1" defaultMemberUniqueName="[Range 2].[First_Name].[All]" allUniqueName="[Range 2].[First_Name].[All]" dimensionUniqueName="[Range 2]" displayFolder="" count="2" memberValueDatatype="130" unbalanced="0"/>
    <cacheHierarchy uniqueName="[Range 2].[Last_Name]" caption="Last_Name" attribute="1" defaultMemberUniqueName="[Range 2].[Last_Name].[All]" allUniqueName="[Range 2].[Last_Name].[All]" dimensionUniqueName="[Range 2]" displayFolder="" count="2" memberValueDatatype="130" unbalanced="0"/>
    <cacheHierarchy uniqueName="[Range 2].[Gender]" caption="Gender" attribute="1" defaultMemberUniqueName="[Range 2].[Gender].[All]" allUniqueName="[Range 2].[Gender].[All]" dimensionUniqueName="[Range 2]" displayFolder="" count="2" memberValueDatatype="130" unbalanced="0"/>
    <cacheHierarchy uniqueName="[Range 2].[Date_Of_Birth]" caption="Date_Of_Birth" attribute="1" time="1" defaultMemberUniqueName="[Range 2].[Date_Of_Birth].[All]" allUniqueName="[Range 2].[Date_Of_Birth].[All]" dimensionUniqueName="[Range 2]" displayFolder="" count="2" memberValueDatatype="7" unbalanced="0"/>
    <cacheHierarchy uniqueName="[Range 2].[Contact_Number]" caption="Contact_Number" attribute="1" defaultMemberUniqueName="[Range 2].[Contact_Number].[All]" allUniqueName="[Range 2].[Contact_Number].[All]" dimensionUniqueName="[Range 2]" displayFolder="" count="2" memberValueDatatype="5" unbalanced="0"/>
    <cacheHierarchy uniqueName="[Range 2].[Address]" caption="Address" attribute="1" defaultMemberUniqueName="[Range 2].[Address].[All]" allUniqueName="[Range 2].[Address].[All]" dimensionUniqueName="[Range 2]" displayFolder="" count="2" memberValueDatatype="130" unbalanced="0"/>
    <cacheHierarchy uniqueName="[Range 2].[Registration_Date]" caption="Registration_Date" attribute="1" time="1" defaultMemberUniqueName="[Range 2].[Registration_Date].[All]" allUniqueName="[Range 2].[Registration_Date].[All]" dimensionUniqueName="[Range 2]" displayFolder="" count="2" memberValueDatatype="7" unbalanced="0"/>
    <cacheHierarchy uniqueName="[Range 2].[Insurance_Provider]" caption="Insurance_Provider" attribute="1" defaultMemberUniqueName="[Range 2].[Insurance_Provider].[All]" allUniqueName="[Range 2].[Insurance_Provider].[All]" dimensionUniqueName="[Range 2]" displayFolder="" count="2" memberValueDatatype="130" unbalanced="0"/>
    <cacheHierarchy uniqueName="[Range 2].[Insurance_Number]" caption="Insurance_Number" attribute="1" defaultMemberUniqueName="[Range 2].[Insurance_Number].[All]" allUniqueName="[Range 2].[Insurance_Number].[All]" dimensionUniqueName="[Range 2]" displayFolder="" count="2" memberValueDatatype="130" unbalanced="0"/>
    <cacheHierarchy uniqueName="[Range 2].[Email]" caption="Email" attribute="1" defaultMemberUniqueName="[Range 2].[Email].[All]" allUniqueName="[Range 2].[Email].[All]" dimensionUniqueName="[Range 2]" displayFolder="" count="2" memberValueDatatype="130" unbalanced="0"/>
    <cacheHierarchy uniqueName="[Range 3].[Treatment_Id]" caption="Treatment_Id" attribute="1" defaultMemberUniqueName="[Range 3].[Treatment_Id].[All]" allUniqueName="[Range 3].[Treatment_Id].[All]" dimensionUniqueName="[Range 3]" displayFolder="" count="2" memberValueDatatype="130" unbalanced="0"/>
    <cacheHierarchy uniqueName="[Range 3].[Appointment_Id]" caption="Appointment_Id" attribute="1" defaultMemberUniqueName="[Range 3].[Appointment_Id].[All]" allUniqueName="[Range 3].[Appointment_Id].[All]" dimensionUniqueName="[Range 3]" displayFolder="" count="2" memberValueDatatype="130" unbalanced="0"/>
    <cacheHierarchy uniqueName="[Range 3].[Treatment_Type]" caption="Treatment_Type" attribute="1" defaultMemberUniqueName="[Range 3].[Treatment_Type].[All]" allUniqueName="[Range 3].[Treatment_Type].[All]" dimensionUniqueName="[Range 3]" displayFolder="" count="2" memberValueDatatype="130" unbalanced="0"/>
    <cacheHierarchy uniqueName="[Range 3].[Description]" caption="Description" attribute="1" defaultMemberUniqueName="[Range 3].[Description].[All]" allUniqueName="[Range 3].[Description].[All]" dimensionUniqueName="[Range 3]" displayFolder="" count="2" memberValueDatatype="130" unbalanced="0"/>
    <cacheHierarchy uniqueName="[Range 3].[Cost]" caption="Cost" attribute="1" defaultMemberUniqueName="[Range 3].[Cost].[All]" allUniqueName="[Range 3].[Cost].[All]" dimensionUniqueName="[Range 3]" displayFolder="" count="2" memberValueDatatype="5" unbalanced="0"/>
    <cacheHierarchy uniqueName="[Range 3].[Treatment_Date]" caption="Treatment_Date" attribute="1" time="1" defaultMemberUniqueName="[Range 3].[Treatment_Date].[All]" allUniqueName="[Range 3].[Treatment_Date].[All]" dimensionUniqueName="[Range 3]" displayFolder="" count="2" memberValueDatatype="7" unbalanced="0"/>
    <cacheHierarchy uniqueName="[Range 4].[Doctor_Id]" caption="Doctor_Id" attribute="1" defaultMemberUniqueName="[Range 4].[Doctor_Id].[All]" allUniqueName="[Range 4].[Doctor_Id].[All]" dimensionUniqueName="[Range 4]" displayFolder="" count="2" memberValueDatatype="130" unbalanced="0"/>
    <cacheHierarchy uniqueName="[Range 4].[First_Name]" caption="First_Name" attribute="1" defaultMemberUniqueName="[Range 4].[First_Name].[All]" allUniqueName="[Range 4].[First_Name].[All]" dimensionUniqueName="[Range 4]" displayFolder="" count="2" memberValueDatatype="130" unbalanced="0"/>
    <cacheHierarchy uniqueName="[Range 4].[Last_Name]" caption="Last_Name" attribute="1" defaultMemberUniqueName="[Range 4].[Last_Name].[All]" allUniqueName="[Range 4].[Last_Name].[All]" dimensionUniqueName="[Range 4]" displayFolder="" count="2" memberValueDatatype="130" unbalanced="0"/>
    <cacheHierarchy uniqueName="[Range 4].[Full Name]" caption="Full Name" attribute="1" defaultMemberUniqueName="[Range 4].[Full Name].[All]" allUniqueName="[Range 4].[Full Name].[All]" dimensionUniqueName="[Range 4]" displayFolder="" count="2" memberValueDatatype="130" unbalanced="0">
      <fieldsUsage count="2">
        <fieldUsage x="-1"/>
        <fieldUsage x="0"/>
      </fieldsUsage>
    </cacheHierarchy>
    <cacheHierarchy uniqueName="[Range 4].[Specialization]" caption="Specialization" attribute="1" defaultMemberUniqueName="[Range 4].[Specialization].[All]" allUniqueName="[Range 4].[Specialization].[All]" dimensionUniqueName="[Range 4]" displayFolder="" count="2" memberValueDatatype="130" unbalanced="0"/>
    <cacheHierarchy uniqueName="[Range 4].[Phone_Number]" caption="Phone_Number" attribute="1" defaultMemberUniqueName="[Range 4].[Phone_Number].[All]" allUniqueName="[Range 4].[Phone_Number].[All]" dimensionUniqueName="[Range 4]" displayFolder="" count="2" memberValueDatatype="5" unbalanced="0"/>
    <cacheHierarchy uniqueName="[Range 4].[Years_Experience]" caption="Years_Experience" attribute="1" defaultMemberUniqueName="[Range 4].[Years_Experience].[All]" allUniqueName="[Range 4].[Years_Experience].[All]" dimensionUniqueName="[Range 4]" displayFolder="" count="2" memberValueDatatype="20" unbalanced="0"/>
    <cacheHierarchy uniqueName="[Range 4].[Hospital_Branch]" caption="Hospital_Branch" attribute="1" defaultMemberUniqueName="[Range 4].[Hospital_Branch].[All]" allUniqueName="[Range 4].[Hospital_Branch].[All]" dimensionUniqueName="[Range 4]" displayFolder="" count="2" memberValueDatatype="130" unbalanced="0"/>
    <cacheHierarchy uniqueName="[Range 4].[Email]" caption="Email" attribute="1" defaultMemberUniqueName="[Range 4].[Email].[All]" allUniqueName="[Range 4].[Email].[All]" dimensionUniqueName="[Range 4]" displayFolder="" count="2"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Count of Appointment_Id]" caption="Count of Appointment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1" count="0" hidden="1">
      <extLst>
        <ext xmlns:x15="http://schemas.microsoft.com/office/spreadsheetml/2010/11/main" uri="{B97F6D7D-B522-45F9-BDA1-12C45D357490}">
          <x15:cacheHierarchy aggregatedColumn="16"/>
        </ext>
      </extLst>
    </cacheHierarchy>
    <cacheHierarchy uniqueName="[Measures].[Count of Patient_Id 2]" caption="Count of Patient_Id 2" measure="1" displayFolder="" measureGroup="Range 1" count="0" hidden="1">
      <extLst>
        <ext xmlns:x15="http://schemas.microsoft.com/office/spreadsheetml/2010/11/main" uri="{B97F6D7D-B522-45F9-BDA1-12C45D357490}">
          <x15:cacheHierarchy aggregatedColumn="9"/>
        </ext>
      </extLst>
    </cacheHierarchy>
    <cacheHierarchy uniqueName="[Measures].[Count of Patient_Id 3]" caption="Count of Patient_Id 3" measure="1" displayFolder="" measureGroup="Range 2" count="0" hidden="1">
      <extLst>
        <ext xmlns:x15="http://schemas.microsoft.com/office/spreadsheetml/2010/11/main" uri="{B97F6D7D-B522-45F9-BDA1-12C45D357490}">
          <x15:cacheHierarchy aggregatedColumn="19"/>
        </ext>
      </extLst>
    </cacheHierarchy>
    <cacheHierarchy uniqueName="[Measures].[Count of Treatment_Id]" caption="Count of Treatment_Id" measure="1" displayFolder="" measureGroup="Range 1" count="0" hidden="1">
      <extLst>
        <ext xmlns:x15="http://schemas.microsoft.com/office/spreadsheetml/2010/11/main" uri="{B97F6D7D-B522-45F9-BDA1-12C45D357490}">
          <x15:cacheHierarchy aggregatedColumn="12"/>
        </ext>
      </extLst>
    </cacheHierarchy>
    <cacheHierarchy uniqueName="[Measures].[Count of Appointment_Id 2]" caption="Count of Appointment_Id 2" measure="1" displayFolder="" measureGroup="Range 3" count="0" hidden="1">
      <extLst>
        <ext xmlns:x15="http://schemas.microsoft.com/office/spreadsheetml/2010/11/main" uri="{B97F6D7D-B522-45F9-BDA1-12C45D357490}">
          <x15:cacheHierarchy aggregatedColumn="31"/>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12">
    <map measureGroup="0" dimension="1"/>
    <map measureGroup="0" dimension="3"/>
    <map measureGroup="0" dimension="5"/>
    <map measureGroup="1" dimension="2"/>
    <map measureGroup="1" dimension="3"/>
    <map measureGroup="1" dimension="5"/>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ED AFSAL" refreshedDate="46280.422345833336" createdVersion="5" refreshedVersion="8" minRefreshableVersion="3" recordCount="0" supportSubquery="1" supportAdvancedDrill="1" xr:uid="{8933DD42-E4E6-4816-8333-789CDEE2478F}">
  <cacheSource type="external" connectionId="1"/>
  <cacheFields count="3">
    <cacheField name="[Range].[Reason_For_Visit].[Reason_For_Visit]" caption="Reason_For_Visit" numFmtId="0" hierarchy="6" level="1">
      <sharedItems count="5">
        <s v="Checkup"/>
        <s v="Consultation"/>
        <s v="Emergency"/>
        <s v="Follow-up"/>
        <s v="Therapy"/>
      </sharedItems>
    </cacheField>
    <cacheField name="[Measures].[Count of Patient_Id]" caption="Count of Patient_Id" numFmtId="0" hierarchy="52" level="32767"/>
    <cacheField name="[Range 1].[Bill_Date].[Bill_Date]" caption="Bill_Date" numFmtId="0" hierarchy="14" level="1">
      <sharedItems containsSemiMixedTypes="0" containsNonDate="0" containsString="0"/>
    </cacheField>
  </cacheFields>
  <cacheHierarchies count="58">
    <cacheHierarchy uniqueName="[Range].[Appointment_Id]" caption="Appointment_Id" attribute="1" defaultMemberUniqueName="[Range].[Appointment_Id].[All]" allUniqueName="[Range].[Appointment_Id].[All]" dimensionUniqueName="[Range]" displayFolder="" count="2" memberValueDatatype="130" unbalanced="0"/>
    <cacheHierarchy uniqueName="[Range].[Patient_Id]" caption="Patient_Id" attribute="1" defaultMemberUniqueName="[Range].[Patient_Id].[All]" allUniqueName="[Range].[Patient_Id].[All]" dimensionUniqueName="[Range]" displayFolder="" count="2" memberValueDatatype="130" unbalanced="0"/>
    <cacheHierarchy uniqueName="[Range].[Doctor_Id]" caption="Doctor_Id" attribute="1" defaultMemberUniqueName="[Range].[Doctor_Id].[All]" allUniqueName="[Range].[Doctor_Id].[All]" dimensionUniqueName="[Range]" displayFolder="" count="2" memberValueDatatype="130" unbalanced="0"/>
    <cacheHierarchy uniqueName="[Range].[Doctor Name]" caption="Doctor Name" attribute="1" defaultMemberUniqueName="[Range].[Doctor Name].[All]" allUniqueName="[Range].[Doctor Name].[All]" dimensionUniqueName="[Range]" displayFolder="" count="2" memberValueDatatype="130" unbalanced="0"/>
    <cacheHierarchy uniqueName="[Range].[Appointment_Date]" caption="Appointment_Date" attribute="1" time="1" defaultMemberUniqueName="[Range].[Appointment_Date].[All]" allUniqueName="[Range].[Appointment_Date].[All]" dimensionUniqueName="[Range]" displayFolder="" count="2" memberValueDatatype="7" unbalanced="0"/>
    <cacheHierarchy uniqueName="[Range].[Appointment_Time]" caption="Appointment_Time" attribute="1" time="1" defaultMemberUniqueName="[Range].[Appointment_Time].[All]" allUniqueName="[Range].[Appointment_Time].[All]" dimensionUniqueName="[Range]" displayFolder="" count="2" memberValueDatatype="7" unbalanced="0"/>
    <cacheHierarchy uniqueName="[Range].[Reason_For_Visit]" caption="Reason_For_Visit" attribute="1" defaultMemberUniqueName="[Range].[Reason_For_Visit].[All]" allUniqueName="[Range].[Reason_For_Visit].[All]" dimensionUniqueName="[Range]" displayFolder="" count="2" memberValueDatatype="130" unbalanced="0">
      <fieldsUsage count="2">
        <fieldUsage x="-1"/>
        <fieldUsage x="0"/>
      </fieldsUsage>
    </cacheHierarchy>
    <cacheHierarchy uniqueName="[Range].[Status]" caption="Status" attribute="1" defaultMemberUniqueName="[Range].[Status].[All]" allUniqueName="[Range].[Status].[All]" dimensionUniqueName="[Range]" displayFolder="" count="2" memberValueDatatype="130" unbalanced="0"/>
    <cacheHierarchy uniqueName="[Range 1].[Bill_Id]" caption="Bill_Id" attribute="1" defaultMemberUniqueName="[Range 1].[Bill_Id].[All]" allUniqueName="[Range 1].[Bill_Id].[All]" dimensionUniqueName="[Range 1]" displayFolder="" count="2" memberValueDatatype="130" unbalanced="0"/>
    <cacheHierarchy uniqueName="[Range 1].[Patient_Id]" caption="Patient_Id" attribute="1" defaultMemberUniqueName="[Range 1].[Patient_Id].[All]" allUniqueName="[Range 1].[Patient_Id].[All]" dimensionUniqueName="[Range 1]" displayFolder="" count="2" memberValueDatatype="130" unbalanced="0"/>
    <cacheHierarchy uniqueName="[Range 1].[Doctor id]" caption="Doctor id" attribute="1" defaultMemberUniqueName="[Range 1].[Doctor id].[All]" allUniqueName="[Range 1].[Doctor id].[All]" dimensionUniqueName="[Range 1]" displayFolder="" count="2" memberValueDatatype="130" unbalanced="0"/>
    <cacheHierarchy uniqueName="[Range 1].[Doctor name]" caption="Doctor name" attribute="1" defaultMemberUniqueName="[Range 1].[Doctor name].[All]" allUniqueName="[Range 1].[Doctor name].[All]" dimensionUniqueName="[Range 1]" displayFolder="" count="2" memberValueDatatype="130" unbalanced="0"/>
    <cacheHierarchy uniqueName="[Range 1].[Treatment_Id]" caption="Treatment_Id" attribute="1" defaultMemberUniqueName="[Range 1].[Treatment_Id].[All]" allUniqueName="[Range 1].[Treatment_Id].[All]" dimensionUniqueName="[Range 1]" displayFolder="" count="2" memberValueDatatype="130" unbalanced="0"/>
    <cacheHierarchy uniqueName="[Range 1].[Treatment_Type]" caption="Treatment_Type" attribute="1" defaultMemberUniqueName="[Range 1].[Treatment_Type].[All]" allUniqueName="[Range 1].[Treatment_Type].[All]" dimensionUniqueName="[Range 1]" displayFolder="" count="2" memberValueDatatype="130" unbalanced="0"/>
    <cacheHierarchy uniqueName="[Range 1].[Bill_Date]" caption="Bill_Date" attribute="1" time="1" defaultMemberUniqueName="[Range 1].[Bill_Date].[All]" allUniqueName="[Range 1].[Bill_Date].[All]" dimensionUniqueName="[Range 1]" displayFolder="" count="2" memberValueDatatype="7" unbalanced="0">
      <fieldsUsage count="2">
        <fieldUsage x="-1"/>
        <fieldUsage x="2"/>
      </fieldsUsage>
    </cacheHierarchy>
    <cacheHierarchy uniqueName="[Range 1].[Month]" caption="Month" attribute="1" defaultMemberUniqueName="[Range 1].[Month].[All]" allUniqueName="[Range 1].[Month].[All]" dimensionUniqueName="[Range 1]" displayFolder="" count="2" memberValueDatatype="130" unbalanced="0"/>
    <cacheHierarchy uniqueName="[Range 1].[Amount]" caption="Amount" attribute="1" defaultMemberUniqueName="[Range 1].[Amount].[All]" allUniqueName="[Range 1].[Amount].[All]" dimensionUniqueName="[Range 1]" displayFolder="" count="2" memberValueDatatype="5" unbalanced="0"/>
    <cacheHierarchy uniqueName="[Range 1].[Payment_Method]" caption="Payment_Method" attribute="1" defaultMemberUniqueName="[Range 1].[Payment_Method].[All]" allUniqueName="[Range 1].[Payment_Method].[All]" dimensionUniqueName="[Range 1]" displayFolder="" count="2" memberValueDatatype="130" unbalanced="0"/>
    <cacheHierarchy uniqueName="[Range 1].[Payment_Status]" caption="Payment_Status" attribute="1" defaultMemberUniqueName="[Range 1].[Payment_Status].[All]" allUniqueName="[Range 1].[Payment_Status].[All]" dimensionUniqueName="[Range 1]" displayFolder="" count="2" memberValueDatatype="130" unbalanced="0"/>
    <cacheHierarchy uniqueName="[Range 2].[Patient_Id]" caption="Patient_Id" attribute="1" defaultMemberUniqueName="[Range 2].[Patient_Id].[All]" allUniqueName="[Range 2].[Patient_Id].[All]" dimensionUniqueName="[Range 2]" displayFolder="" count="2" memberValueDatatype="130" unbalanced="0"/>
    <cacheHierarchy uniqueName="[Range 2].[First_Name]" caption="First_Name" attribute="1" defaultMemberUniqueName="[Range 2].[First_Name].[All]" allUniqueName="[Range 2].[First_Name].[All]" dimensionUniqueName="[Range 2]" displayFolder="" count="2" memberValueDatatype="130" unbalanced="0"/>
    <cacheHierarchy uniqueName="[Range 2].[Last_Name]" caption="Last_Name" attribute="1" defaultMemberUniqueName="[Range 2].[Last_Name].[All]" allUniqueName="[Range 2].[Last_Name].[All]" dimensionUniqueName="[Range 2]" displayFolder="" count="2" memberValueDatatype="130" unbalanced="0"/>
    <cacheHierarchy uniqueName="[Range 2].[Gender]" caption="Gender" attribute="1" defaultMemberUniqueName="[Range 2].[Gender].[All]" allUniqueName="[Range 2].[Gender].[All]" dimensionUniqueName="[Range 2]" displayFolder="" count="2" memberValueDatatype="130" unbalanced="0"/>
    <cacheHierarchy uniqueName="[Range 2].[Date_Of_Birth]" caption="Date_Of_Birth" attribute="1" time="1" defaultMemberUniqueName="[Range 2].[Date_Of_Birth].[All]" allUniqueName="[Range 2].[Date_Of_Birth].[All]" dimensionUniqueName="[Range 2]" displayFolder="" count="2" memberValueDatatype="7" unbalanced="0"/>
    <cacheHierarchy uniqueName="[Range 2].[Contact_Number]" caption="Contact_Number" attribute="1" defaultMemberUniqueName="[Range 2].[Contact_Number].[All]" allUniqueName="[Range 2].[Contact_Number].[All]" dimensionUniqueName="[Range 2]" displayFolder="" count="2" memberValueDatatype="5" unbalanced="0"/>
    <cacheHierarchy uniqueName="[Range 2].[Address]" caption="Address" attribute="1" defaultMemberUniqueName="[Range 2].[Address].[All]" allUniqueName="[Range 2].[Address].[All]" dimensionUniqueName="[Range 2]" displayFolder="" count="2" memberValueDatatype="130" unbalanced="0"/>
    <cacheHierarchy uniqueName="[Range 2].[Registration_Date]" caption="Registration_Date" attribute="1" time="1" defaultMemberUniqueName="[Range 2].[Registration_Date].[All]" allUniqueName="[Range 2].[Registration_Date].[All]" dimensionUniqueName="[Range 2]" displayFolder="" count="2" memberValueDatatype="7" unbalanced="0"/>
    <cacheHierarchy uniqueName="[Range 2].[Insurance_Provider]" caption="Insurance_Provider" attribute="1" defaultMemberUniqueName="[Range 2].[Insurance_Provider].[All]" allUniqueName="[Range 2].[Insurance_Provider].[All]" dimensionUniqueName="[Range 2]" displayFolder="" count="2" memberValueDatatype="130" unbalanced="0"/>
    <cacheHierarchy uniqueName="[Range 2].[Insurance_Number]" caption="Insurance_Number" attribute="1" defaultMemberUniqueName="[Range 2].[Insurance_Number].[All]" allUniqueName="[Range 2].[Insurance_Number].[All]" dimensionUniqueName="[Range 2]" displayFolder="" count="2" memberValueDatatype="130" unbalanced="0"/>
    <cacheHierarchy uniqueName="[Range 2].[Email]" caption="Email" attribute="1" defaultMemberUniqueName="[Range 2].[Email].[All]" allUniqueName="[Range 2].[Email].[All]" dimensionUniqueName="[Range 2]" displayFolder="" count="2" memberValueDatatype="130" unbalanced="0"/>
    <cacheHierarchy uniqueName="[Range 3].[Treatment_Id]" caption="Treatment_Id" attribute="1" defaultMemberUniqueName="[Range 3].[Treatment_Id].[All]" allUniqueName="[Range 3].[Treatment_Id].[All]" dimensionUniqueName="[Range 3]" displayFolder="" count="2" memberValueDatatype="130" unbalanced="0"/>
    <cacheHierarchy uniqueName="[Range 3].[Appointment_Id]" caption="Appointment_Id" attribute="1" defaultMemberUniqueName="[Range 3].[Appointment_Id].[All]" allUniqueName="[Range 3].[Appointment_Id].[All]" dimensionUniqueName="[Range 3]" displayFolder="" count="2" memberValueDatatype="130" unbalanced="0"/>
    <cacheHierarchy uniqueName="[Range 3].[Treatment_Type]" caption="Treatment_Type" attribute="1" defaultMemberUniqueName="[Range 3].[Treatment_Type].[All]" allUniqueName="[Range 3].[Treatment_Type].[All]" dimensionUniqueName="[Range 3]" displayFolder="" count="2" memberValueDatatype="130" unbalanced="0"/>
    <cacheHierarchy uniqueName="[Range 3].[Description]" caption="Description" attribute="1" defaultMemberUniqueName="[Range 3].[Description].[All]" allUniqueName="[Range 3].[Description].[All]" dimensionUniqueName="[Range 3]" displayFolder="" count="2" memberValueDatatype="130" unbalanced="0"/>
    <cacheHierarchy uniqueName="[Range 3].[Cost]" caption="Cost" attribute="1" defaultMemberUniqueName="[Range 3].[Cost].[All]" allUniqueName="[Range 3].[Cost].[All]" dimensionUniqueName="[Range 3]" displayFolder="" count="2" memberValueDatatype="5" unbalanced="0"/>
    <cacheHierarchy uniqueName="[Range 3].[Treatment_Date]" caption="Treatment_Date" attribute="1" time="1" defaultMemberUniqueName="[Range 3].[Treatment_Date].[All]" allUniqueName="[Range 3].[Treatment_Date].[All]" dimensionUniqueName="[Range 3]" displayFolder="" count="2" memberValueDatatype="7" unbalanced="0"/>
    <cacheHierarchy uniqueName="[Range 4].[Doctor_Id]" caption="Doctor_Id" attribute="1" defaultMemberUniqueName="[Range 4].[Doctor_Id].[All]" allUniqueName="[Range 4].[Doctor_Id].[All]" dimensionUniqueName="[Range 4]" displayFolder="" count="2" memberValueDatatype="130" unbalanced="0"/>
    <cacheHierarchy uniqueName="[Range 4].[First_Name]" caption="First_Name" attribute="1" defaultMemberUniqueName="[Range 4].[First_Name].[All]" allUniqueName="[Range 4].[First_Name].[All]" dimensionUniqueName="[Range 4]" displayFolder="" count="2" memberValueDatatype="130" unbalanced="0"/>
    <cacheHierarchy uniqueName="[Range 4].[Last_Name]" caption="Last_Name" attribute="1" defaultMemberUniqueName="[Range 4].[Last_Name].[All]" allUniqueName="[Range 4].[Last_Name].[All]" dimensionUniqueName="[Range 4]" displayFolder="" count="2" memberValueDatatype="130" unbalanced="0"/>
    <cacheHierarchy uniqueName="[Range 4].[Full Name]" caption="Full Name" attribute="1" defaultMemberUniqueName="[Range 4].[Full Name].[All]" allUniqueName="[Range 4].[Full Name].[All]" dimensionUniqueName="[Range 4]" displayFolder="" count="2" memberValueDatatype="130" unbalanced="0"/>
    <cacheHierarchy uniqueName="[Range 4].[Specialization]" caption="Specialization" attribute="1" defaultMemberUniqueName="[Range 4].[Specialization].[All]" allUniqueName="[Range 4].[Specialization].[All]" dimensionUniqueName="[Range 4]" displayFolder="" count="2" memberValueDatatype="130" unbalanced="0"/>
    <cacheHierarchy uniqueName="[Range 4].[Phone_Number]" caption="Phone_Number" attribute="1" defaultMemberUniqueName="[Range 4].[Phone_Number].[All]" allUniqueName="[Range 4].[Phone_Number].[All]" dimensionUniqueName="[Range 4]" displayFolder="" count="2" memberValueDatatype="5" unbalanced="0"/>
    <cacheHierarchy uniqueName="[Range 4].[Years_Experience]" caption="Years_Experience" attribute="1" defaultMemberUniqueName="[Range 4].[Years_Experience].[All]" allUniqueName="[Range 4].[Years_Experience].[All]" dimensionUniqueName="[Range 4]" displayFolder="" count="2" memberValueDatatype="20" unbalanced="0"/>
    <cacheHierarchy uniqueName="[Range 4].[Hospital_Branch]" caption="Hospital_Branch" attribute="1" defaultMemberUniqueName="[Range 4].[Hospital_Branch].[All]" allUniqueName="[Range 4].[Hospital_Branch].[All]" dimensionUniqueName="[Range 4]" displayFolder="" count="2" memberValueDatatype="130" unbalanced="0"/>
    <cacheHierarchy uniqueName="[Range 4].[Email]" caption="Email" attribute="1" defaultMemberUniqueName="[Range 4].[Email].[All]" allUniqueName="[Range 4].[Email].[All]" dimensionUniqueName="[Range 4]" displayFolder="" count="2"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Count of Appointment_Id]" caption="Count of Appointment_Id" measure="1" displayFolder="" measureGroup="Range" count="0" hidden="1">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1" count="0" hidden="1">
      <extLst>
        <ext xmlns:x15="http://schemas.microsoft.com/office/spreadsheetml/2010/11/main" uri="{B97F6D7D-B522-45F9-BDA1-12C45D357490}">
          <x15:cacheHierarchy aggregatedColumn="16"/>
        </ext>
      </extLst>
    </cacheHierarchy>
    <cacheHierarchy uniqueName="[Measures].[Count of Patient_Id 2]" caption="Count of Patient_Id 2" measure="1" displayFolder="" measureGroup="Range 1" count="0" hidden="1">
      <extLst>
        <ext xmlns:x15="http://schemas.microsoft.com/office/spreadsheetml/2010/11/main" uri="{B97F6D7D-B522-45F9-BDA1-12C45D357490}">
          <x15:cacheHierarchy aggregatedColumn="9"/>
        </ext>
      </extLst>
    </cacheHierarchy>
    <cacheHierarchy uniqueName="[Measures].[Count of Patient_Id 3]" caption="Count of Patient_Id 3" measure="1" displayFolder="" measureGroup="Range 2" count="0" hidden="1">
      <extLst>
        <ext xmlns:x15="http://schemas.microsoft.com/office/spreadsheetml/2010/11/main" uri="{B97F6D7D-B522-45F9-BDA1-12C45D357490}">
          <x15:cacheHierarchy aggregatedColumn="19"/>
        </ext>
      </extLst>
    </cacheHierarchy>
    <cacheHierarchy uniqueName="[Measures].[Count of Treatment_Id]" caption="Count of Treatment_Id" measure="1" displayFolder="" measureGroup="Range 1" count="0" hidden="1">
      <extLst>
        <ext xmlns:x15="http://schemas.microsoft.com/office/spreadsheetml/2010/11/main" uri="{B97F6D7D-B522-45F9-BDA1-12C45D357490}">
          <x15:cacheHierarchy aggregatedColumn="12"/>
        </ext>
      </extLst>
    </cacheHierarchy>
    <cacheHierarchy uniqueName="[Measures].[Count of Appointment_Id 2]" caption="Count of Appointment_Id 2" measure="1" displayFolder="" measureGroup="Range 3" count="0" hidden="1">
      <extLst>
        <ext xmlns:x15="http://schemas.microsoft.com/office/spreadsheetml/2010/11/main" uri="{B97F6D7D-B522-45F9-BDA1-12C45D357490}">
          <x15:cacheHierarchy aggregatedColumn="31"/>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12">
    <map measureGroup="0" dimension="1"/>
    <map measureGroup="0" dimension="3"/>
    <map measureGroup="0" dimension="5"/>
    <map measureGroup="1" dimension="2"/>
    <map measureGroup="1" dimension="3"/>
    <map measureGroup="1" dimension="5"/>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ED AFSAL" refreshedDate="46280.422346064814" createdVersion="5" refreshedVersion="8" minRefreshableVersion="3" recordCount="0" supportSubquery="1" supportAdvancedDrill="1" xr:uid="{D4C7B959-60C9-4BAC-A70B-6F9E8367C26A}">
  <cacheSource type="external" connectionId="1"/>
  <cacheFields count="3">
    <cacheField name="[Range 1].[Treatment_Type].[Treatment_Type]" caption="Treatment_Type" numFmtId="0" hierarchy="13" level="1">
      <sharedItems count="5">
        <s v="Chemotherapy"/>
        <s v="ECG"/>
        <s v="MRI"/>
        <s v="Physiotherapy"/>
        <s v="X-Ray"/>
      </sharedItems>
    </cacheField>
    <cacheField name="[Measures].[Sum of Amount]" caption="Sum of Amount" numFmtId="0" hierarchy="53" level="32767"/>
    <cacheField name="[Range 1].[Bill_Date].[Bill_Date]" caption="Bill_Date" numFmtId="0" hierarchy="14" level="1">
      <sharedItems containsSemiMixedTypes="0" containsNonDate="0" containsString="0"/>
    </cacheField>
  </cacheFields>
  <cacheHierarchies count="58">
    <cacheHierarchy uniqueName="[Range].[Appointment_Id]" caption="Appointment_Id" attribute="1" defaultMemberUniqueName="[Range].[Appointment_Id].[All]" allUniqueName="[Range].[Appointment_Id].[All]" dimensionUniqueName="[Range]" displayFolder="" count="2" memberValueDatatype="130" unbalanced="0"/>
    <cacheHierarchy uniqueName="[Range].[Patient_Id]" caption="Patient_Id" attribute="1" defaultMemberUniqueName="[Range].[Patient_Id].[All]" allUniqueName="[Range].[Patient_Id].[All]" dimensionUniqueName="[Range]" displayFolder="" count="2" memberValueDatatype="130" unbalanced="0"/>
    <cacheHierarchy uniqueName="[Range].[Doctor_Id]" caption="Doctor_Id" attribute="1" defaultMemberUniqueName="[Range].[Doctor_Id].[All]" allUniqueName="[Range].[Doctor_Id].[All]" dimensionUniqueName="[Range]" displayFolder="" count="2" memberValueDatatype="130" unbalanced="0"/>
    <cacheHierarchy uniqueName="[Range].[Doctor Name]" caption="Doctor Name" attribute="1" defaultMemberUniqueName="[Range].[Doctor Name].[All]" allUniqueName="[Range].[Doctor Name].[All]" dimensionUniqueName="[Range]" displayFolder="" count="2" memberValueDatatype="130" unbalanced="0"/>
    <cacheHierarchy uniqueName="[Range].[Appointment_Date]" caption="Appointment_Date" attribute="1" time="1" defaultMemberUniqueName="[Range].[Appointment_Date].[All]" allUniqueName="[Range].[Appointment_Date].[All]" dimensionUniqueName="[Range]" displayFolder="" count="2" memberValueDatatype="7" unbalanced="0"/>
    <cacheHierarchy uniqueName="[Range].[Appointment_Time]" caption="Appointment_Time" attribute="1" time="1" defaultMemberUniqueName="[Range].[Appointment_Time].[All]" allUniqueName="[Range].[Appointment_Time].[All]" dimensionUniqueName="[Range]" displayFolder="" count="2" memberValueDatatype="7" unbalanced="0"/>
    <cacheHierarchy uniqueName="[Range].[Reason_For_Visit]" caption="Reason_For_Visit" attribute="1" defaultMemberUniqueName="[Range].[Reason_For_Visit].[All]" allUniqueName="[Range].[Reason_For_Visit].[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cacheHierarchy uniqueName="[Range 1].[Bill_Id]" caption="Bill_Id" attribute="1" defaultMemberUniqueName="[Range 1].[Bill_Id].[All]" allUniqueName="[Range 1].[Bill_Id].[All]" dimensionUniqueName="[Range 1]" displayFolder="" count="2" memberValueDatatype="130" unbalanced="0"/>
    <cacheHierarchy uniqueName="[Range 1].[Patient_Id]" caption="Patient_Id" attribute="1" defaultMemberUniqueName="[Range 1].[Patient_Id].[All]" allUniqueName="[Range 1].[Patient_Id].[All]" dimensionUniqueName="[Range 1]" displayFolder="" count="2" memberValueDatatype="130" unbalanced="0"/>
    <cacheHierarchy uniqueName="[Range 1].[Doctor id]" caption="Doctor id" attribute="1" defaultMemberUniqueName="[Range 1].[Doctor id].[All]" allUniqueName="[Range 1].[Doctor id].[All]" dimensionUniqueName="[Range 1]" displayFolder="" count="2" memberValueDatatype="130" unbalanced="0"/>
    <cacheHierarchy uniqueName="[Range 1].[Doctor name]" caption="Doctor name" attribute="1" defaultMemberUniqueName="[Range 1].[Doctor name].[All]" allUniqueName="[Range 1].[Doctor name].[All]" dimensionUniqueName="[Range 1]" displayFolder="" count="2" memberValueDatatype="130" unbalanced="0"/>
    <cacheHierarchy uniqueName="[Range 1].[Treatment_Id]" caption="Treatment_Id" attribute="1" defaultMemberUniqueName="[Range 1].[Treatment_Id].[All]" allUniqueName="[Range 1].[Treatment_Id].[All]" dimensionUniqueName="[Range 1]" displayFolder="" count="2" memberValueDatatype="130" unbalanced="0"/>
    <cacheHierarchy uniqueName="[Range 1].[Treatment_Type]" caption="Treatment_Type" attribute="1" defaultMemberUniqueName="[Range 1].[Treatment_Type].[All]" allUniqueName="[Range 1].[Treatment_Type].[All]" dimensionUniqueName="[Range 1]" displayFolder="" count="2" memberValueDatatype="130" unbalanced="0">
      <fieldsUsage count="2">
        <fieldUsage x="-1"/>
        <fieldUsage x="0"/>
      </fieldsUsage>
    </cacheHierarchy>
    <cacheHierarchy uniqueName="[Range 1].[Bill_Date]" caption="Bill_Date" attribute="1" time="1" defaultMemberUniqueName="[Range 1].[Bill_Date].[All]" allUniqueName="[Range 1].[Bill_Date].[All]" dimensionUniqueName="[Range 1]" displayFolder="" count="2" memberValueDatatype="7" unbalanced="0">
      <fieldsUsage count="2">
        <fieldUsage x="-1"/>
        <fieldUsage x="2"/>
      </fieldsUsage>
    </cacheHierarchy>
    <cacheHierarchy uniqueName="[Range 1].[Month]" caption="Month" attribute="1" defaultMemberUniqueName="[Range 1].[Month].[All]" allUniqueName="[Range 1].[Month].[All]" dimensionUniqueName="[Range 1]" displayFolder="" count="2" memberValueDatatype="130" unbalanced="0"/>
    <cacheHierarchy uniqueName="[Range 1].[Amount]" caption="Amount" attribute="1" defaultMemberUniqueName="[Range 1].[Amount].[All]" allUniqueName="[Range 1].[Amount].[All]" dimensionUniqueName="[Range 1]" displayFolder="" count="2" memberValueDatatype="5" unbalanced="0"/>
    <cacheHierarchy uniqueName="[Range 1].[Payment_Method]" caption="Payment_Method" attribute="1" defaultMemberUniqueName="[Range 1].[Payment_Method].[All]" allUniqueName="[Range 1].[Payment_Method].[All]" dimensionUniqueName="[Range 1]" displayFolder="" count="2" memberValueDatatype="130" unbalanced="0"/>
    <cacheHierarchy uniqueName="[Range 1].[Payment_Status]" caption="Payment_Status" attribute="1" defaultMemberUniqueName="[Range 1].[Payment_Status].[All]" allUniqueName="[Range 1].[Payment_Status].[All]" dimensionUniqueName="[Range 1]" displayFolder="" count="2" memberValueDatatype="130" unbalanced="0"/>
    <cacheHierarchy uniqueName="[Range 2].[Patient_Id]" caption="Patient_Id" attribute="1" defaultMemberUniqueName="[Range 2].[Patient_Id].[All]" allUniqueName="[Range 2].[Patient_Id].[All]" dimensionUniqueName="[Range 2]" displayFolder="" count="2" memberValueDatatype="130" unbalanced="0"/>
    <cacheHierarchy uniqueName="[Range 2].[First_Name]" caption="First_Name" attribute="1" defaultMemberUniqueName="[Range 2].[First_Name].[All]" allUniqueName="[Range 2].[First_Name].[All]" dimensionUniqueName="[Range 2]" displayFolder="" count="2" memberValueDatatype="130" unbalanced="0"/>
    <cacheHierarchy uniqueName="[Range 2].[Last_Name]" caption="Last_Name" attribute="1" defaultMemberUniqueName="[Range 2].[Last_Name].[All]" allUniqueName="[Range 2].[Last_Name].[All]" dimensionUniqueName="[Range 2]" displayFolder="" count="2" memberValueDatatype="130" unbalanced="0"/>
    <cacheHierarchy uniqueName="[Range 2].[Gender]" caption="Gender" attribute="1" defaultMemberUniqueName="[Range 2].[Gender].[All]" allUniqueName="[Range 2].[Gender].[All]" dimensionUniqueName="[Range 2]" displayFolder="" count="2" memberValueDatatype="130" unbalanced="0"/>
    <cacheHierarchy uniqueName="[Range 2].[Date_Of_Birth]" caption="Date_Of_Birth" attribute="1" time="1" defaultMemberUniqueName="[Range 2].[Date_Of_Birth].[All]" allUniqueName="[Range 2].[Date_Of_Birth].[All]" dimensionUniqueName="[Range 2]" displayFolder="" count="2" memberValueDatatype="7" unbalanced="0"/>
    <cacheHierarchy uniqueName="[Range 2].[Contact_Number]" caption="Contact_Number" attribute="1" defaultMemberUniqueName="[Range 2].[Contact_Number].[All]" allUniqueName="[Range 2].[Contact_Number].[All]" dimensionUniqueName="[Range 2]" displayFolder="" count="2" memberValueDatatype="5" unbalanced="0"/>
    <cacheHierarchy uniqueName="[Range 2].[Address]" caption="Address" attribute="1" defaultMemberUniqueName="[Range 2].[Address].[All]" allUniqueName="[Range 2].[Address].[All]" dimensionUniqueName="[Range 2]" displayFolder="" count="2" memberValueDatatype="130" unbalanced="0"/>
    <cacheHierarchy uniqueName="[Range 2].[Registration_Date]" caption="Registration_Date" attribute="1" time="1" defaultMemberUniqueName="[Range 2].[Registration_Date].[All]" allUniqueName="[Range 2].[Registration_Date].[All]" dimensionUniqueName="[Range 2]" displayFolder="" count="2" memberValueDatatype="7" unbalanced="0"/>
    <cacheHierarchy uniqueName="[Range 2].[Insurance_Provider]" caption="Insurance_Provider" attribute="1" defaultMemberUniqueName="[Range 2].[Insurance_Provider].[All]" allUniqueName="[Range 2].[Insurance_Provider].[All]" dimensionUniqueName="[Range 2]" displayFolder="" count="2" memberValueDatatype="130" unbalanced="0"/>
    <cacheHierarchy uniqueName="[Range 2].[Insurance_Number]" caption="Insurance_Number" attribute="1" defaultMemberUniqueName="[Range 2].[Insurance_Number].[All]" allUniqueName="[Range 2].[Insurance_Number].[All]" dimensionUniqueName="[Range 2]" displayFolder="" count="2" memberValueDatatype="130" unbalanced="0"/>
    <cacheHierarchy uniqueName="[Range 2].[Email]" caption="Email" attribute="1" defaultMemberUniqueName="[Range 2].[Email].[All]" allUniqueName="[Range 2].[Email].[All]" dimensionUniqueName="[Range 2]" displayFolder="" count="2" memberValueDatatype="130" unbalanced="0"/>
    <cacheHierarchy uniqueName="[Range 3].[Treatment_Id]" caption="Treatment_Id" attribute="1" defaultMemberUniqueName="[Range 3].[Treatment_Id].[All]" allUniqueName="[Range 3].[Treatment_Id].[All]" dimensionUniqueName="[Range 3]" displayFolder="" count="2" memberValueDatatype="130" unbalanced="0"/>
    <cacheHierarchy uniqueName="[Range 3].[Appointment_Id]" caption="Appointment_Id" attribute="1" defaultMemberUniqueName="[Range 3].[Appointment_Id].[All]" allUniqueName="[Range 3].[Appointment_Id].[All]" dimensionUniqueName="[Range 3]" displayFolder="" count="2" memberValueDatatype="130" unbalanced="0"/>
    <cacheHierarchy uniqueName="[Range 3].[Treatment_Type]" caption="Treatment_Type" attribute="1" defaultMemberUniqueName="[Range 3].[Treatment_Type].[All]" allUniqueName="[Range 3].[Treatment_Type].[All]" dimensionUniqueName="[Range 3]" displayFolder="" count="2" memberValueDatatype="130" unbalanced="0"/>
    <cacheHierarchy uniqueName="[Range 3].[Description]" caption="Description" attribute="1" defaultMemberUniqueName="[Range 3].[Description].[All]" allUniqueName="[Range 3].[Description].[All]" dimensionUniqueName="[Range 3]" displayFolder="" count="2" memberValueDatatype="130" unbalanced="0"/>
    <cacheHierarchy uniqueName="[Range 3].[Cost]" caption="Cost" attribute="1" defaultMemberUniqueName="[Range 3].[Cost].[All]" allUniqueName="[Range 3].[Cost].[All]" dimensionUniqueName="[Range 3]" displayFolder="" count="2" memberValueDatatype="5" unbalanced="0"/>
    <cacheHierarchy uniqueName="[Range 3].[Treatment_Date]" caption="Treatment_Date" attribute="1" time="1" defaultMemberUniqueName="[Range 3].[Treatment_Date].[All]" allUniqueName="[Range 3].[Treatment_Date].[All]" dimensionUniqueName="[Range 3]" displayFolder="" count="2" memberValueDatatype="7" unbalanced="0"/>
    <cacheHierarchy uniqueName="[Range 4].[Doctor_Id]" caption="Doctor_Id" attribute="1" defaultMemberUniqueName="[Range 4].[Doctor_Id].[All]" allUniqueName="[Range 4].[Doctor_Id].[All]" dimensionUniqueName="[Range 4]" displayFolder="" count="2" memberValueDatatype="130" unbalanced="0"/>
    <cacheHierarchy uniqueName="[Range 4].[First_Name]" caption="First_Name" attribute="1" defaultMemberUniqueName="[Range 4].[First_Name].[All]" allUniqueName="[Range 4].[First_Name].[All]" dimensionUniqueName="[Range 4]" displayFolder="" count="2" memberValueDatatype="130" unbalanced="0"/>
    <cacheHierarchy uniqueName="[Range 4].[Last_Name]" caption="Last_Name" attribute="1" defaultMemberUniqueName="[Range 4].[Last_Name].[All]" allUniqueName="[Range 4].[Last_Name].[All]" dimensionUniqueName="[Range 4]" displayFolder="" count="2" memberValueDatatype="130" unbalanced="0"/>
    <cacheHierarchy uniqueName="[Range 4].[Full Name]" caption="Full Name" attribute="1" defaultMemberUniqueName="[Range 4].[Full Name].[All]" allUniqueName="[Range 4].[Full Name].[All]" dimensionUniqueName="[Range 4]" displayFolder="" count="2" memberValueDatatype="130" unbalanced="0"/>
    <cacheHierarchy uniqueName="[Range 4].[Specialization]" caption="Specialization" attribute="1" defaultMemberUniqueName="[Range 4].[Specialization].[All]" allUniqueName="[Range 4].[Specialization].[All]" dimensionUniqueName="[Range 4]" displayFolder="" count="2" memberValueDatatype="130" unbalanced="0"/>
    <cacheHierarchy uniqueName="[Range 4].[Phone_Number]" caption="Phone_Number" attribute="1" defaultMemberUniqueName="[Range 4].[Phone_Number].[All]" allUniqueName="[Range 4].[Phone_Number].[All]" dimensionUniqueName="[Range 4]" displayFolder="" count="2" memberValueDatatype="5" unbalanced="0"/>
    <cacheHierarchy uniqueName="[Range 4].[Years_Experience]" caption="Years_Experience" attribute="1" defaultMemberUniqueName="[Range 4].[Years_Experience].[All]" allUniqueName="[Range 4].[Years_Experience].[All]" dimensionUniqueName="[Range 4]" displayFolder="" count="2" memberValueDatatype="20" unbalanced="0"/>
    <cacheHierarchy uniqueName="[Range 4].[Hospital_Branch]" caption="Hospital_Branch" attribute="1" defaultMemberUniqueName="[Range 4].[Hospital_Branch].[All]" allUniqueName="[Range 4].[Hospital_Branch].[All]" dimensionUniqueName="[Range 4]" displayFolder="" count="2" memberValueDatatype="130" unbalanced="0"/>
    <cacheHierarchy uniqueName="[Range 4].[Email]" caption="Email" attribute="1" defaultMemberUniqueName="[Range 4].[Email].[All]" allUniqueName="[Range 4].[Email].[All]" dimensionUniqueName="[Range 4]" displayFolder="" count="2"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Count of Appointment_Id]" caption="Count of Appointment_Id" measure="1" displayFolder="" measureGroup="Range" count="0" hidden="1">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_Id 2]" caption="Count of Patient_Id 2" measure="1" displayFolder="" measureGroup="Range 1" count="0" hidden="1">
      <extLst>
        <ext xmlns:x15="http://schemas.microsoft.com/office/spreadsheetml/2010/11/main" uri="{B97F6D7D-B522-45F9-BDA1-12C45D357490}">
          <x15:cacheHierarchy aggregatedColumn="9"/>
        </ext>
      </extLst>
    </cacheHierarchy>
    <cacheHierarchy uniqueName="[Measures].[Count of Patient_Id 3]" caption="Count of Patient_Id 3" measure="1" displayFolder="" measureGroup="Range 2" count="0" hidden="1">
      <extLst>
        <ext xmlns:x15="http://schemas.microsoft.com/office/spreadsheetml/2010/11/main" uri="{B97F6D7D-B522-45F9-BDA1-12C45D357490}">
          <x15:cacheHierarchy aggregatedColumn="19"/>
        </ext>
      </extLst>
    </cacheHierarchy>
    <cacheHierarchy uniqueName="[Measures].[Count of Treatment_Id]" caption="Count of Treatment_Id" measure="1" displayFolder="" measureGroup="Range 1" count="0" hidden="1">
      <extLst>
        <ext xmlns:x15="http://schemas.microsoft.com/office/spreadsheetml/2010/11/main" uri="{B97F6D7D-B522-45F9-BDA1-12C45D357490}">
          <x15:cacheHierarchy aggregatedColumn="12"/>
        </ext>
      </extLst>
    </cacheHierarchy>
    <cacheHierarchy uniqueName="[Measures].[Count of Appointment_Id 2]" caption="Count of Appointment_Id 2" measure="1" displayFolder="" measureGroup="Range 3" count="0" hidden="1">
      <extLst>
        <ext xmlns:x15="http://schemas.microsoft.com/office/spreadsheetml/2010/11/main" uri="{B97F6D7D-B522-45F9-BDA1-12C45D357490}">
          <x15:cacheHierarchy aggregatedColumn="31"/>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12">
    <map measureGroup="0" dimension="1"/>
    <map measureGroup="0" dimension="3"/>
    <map measureGroup="0" dimension="5"/>
    <map measureGroup="1" dimension="2"/>
    <map measureGroup="1" dimension="3"/>
    <map measureGroup="1" dimension="5"/>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ED AFSAL" refreshedDate="46280.422346527776" createdVersion="5" refreshedVersion="8" minRefreshableVersion="3" recordCount="0" supportSubquery="1" supportAdvancedDrill="1" xr:uid="{9D2A7C42-FB8E-4D28-9B1B-E7F739FAEBB8}">
  <cacheSource type="external" connectionId="1"/>
  <cacheFields count="3">
    <cacheField name="[Measures].[Sum of Amount]" caption="Sum of Amount" numFmtId="0" hierarchy="53" level="32767"/>
    <cacheField name="[Range 1].[Doctor name].[Doctor name]" caption="Doctor name" numFmtId="0" hierarchy="11" level="1">
      <sharedItems count="10">
        <s v="Alex Davis"/>
        <s v="David Jones"/>
        <s v="David Taylor"/>
        <s v="Jane Davis"/>
        <s v="Jane Smith"/>
        <s v="Linda Brown"/>
        <s v="Linda Wilson"/>
        <s v="Robert Davis"/>
        <s v="Sarah Smith"/>
        <s v="Sarah Taylor"/>
      </sharedItems>
    </cacheField>
    <cacheField name="[Range 1].[Bill_Date].[Bill_Date]" caption="Bill_Date" numFmtId="0" hierarchy="14" level="1">
      <sharedItems containsSemiMixedTypes="0" containsNonDate="0" containsString="0"/>
    </cacheField>
  </cacheFields>
  <cacheHierarchies count="58">
    <cacheHierarchy uniqueName="[Range].[Appointment_Id]" caption="Appointment_Id" attribute="1" defaultMemberUniqueName="[Range].[Appointment_Id].[All]" allUniqueName="[Range].[Appointment_Id].[All]" dimensionUniqueName="[Range]" displayFolder="" count="2" memberValueDatatype="130" unbalanced="0"/>
    <cacheHierarchy uniqueName="[Range].[Patient_Id]" caption="Patient_Id" attribute="1" defaultMemberUniqueName="[Range].[Patient_Id].[All]" allUniqueName="[Range].[Patient_Id].[All]" dimensionUniqueName="[Range]" displayFolder="" count="2" memberValueDatatype="130" unbalanced="0"/>
    <cacheHierarchy uniqueName="[Range].[Doctor_Id]" caption="Doctor_Id" attribute="1" defaultMemberUniqueName="[Range].[Doctor_Id].[All]" allUniqueName="[Range].[Doctor_Id].[All]" dimensionUniqueName="[Range]" displayFolder="" count="2" memberValueDatatype="130" unbalanced="0"/>
    <cacheHierarchy uniqueName="[Range].[Doctor Name]" caption="Doctor Name" attribute="1" defaultMemberUniqueName="[Range].[Doctor Name].[All]" allUniqueName="[Range].[Doctor Name].[All]" dimensionUniqueName="[Range]" displayFolder="" count="2" memberValueDatatype="130" unbalanced="0"/>
    <cacheHierarchy uniqueName="[Range].[Appointment_Date]" caption="Appointment_Date" attribute="1" time="1" defaultMemberUniqueName="[Range].[Appointment_Date].[All]" allUniqueName="[Range].[Appointment_Date].[All]" dimensionUniqueName="[Range]" displayFolder="" count="2" memberValueDatatype="7" unbalanced="0"/>
    <cacheHierarchy uniqueName="[Range].[Appointment_Time]" caption="Appointment_Time" attribute="1" time="1" defaultMemberUniqueName="[Range].[Appointment_Time].[All]" allUniqueName="[Range].[Appointment_Time].[All]" dimensionUniqueName="[Range]" displayFolder="" count="2" memberValueDatatype="7" unbalanced="0"/>
    <cacheHierarchy uniqueName="[Range].[Reason_For_Visit]" caption="Reason_For_Visit" attribute="1" defaultMemberUniqueName="[Range].[Reason_For_Visit].[All]" allUniqueName="[Range].[Reason_For_Visit].[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cacheHierarchy uniqueName="[Range 1].[Bill_Id]" caption="Bill_Id" attribute="1" defaultMemberUniqueName="[Range 1].[Bill_Id].[All]" allUniqueName="[Range 1].[Bill_Id].[All]" dimensionUniqueName="[Range 1]" displayFolder="" count="2" memberValueDatatype="130" unbalanced="0"/>
    <cacheHierarchy uniqueName="[Range 1].[Patient_Id]" caption="Patient_Id" attribute="1" defaultMemberUniqueName="[Range 1].[Patient_Id].[All]" allUniqueName="[Range 1].[Patient_Id].[All]" dimensionUniqueName="[Range 1]" displayFolder="" count="2" memberValueDatatype="130" unbalanced="0"/>
    <cacheHierarchy uniqueName="[Range 1].[Doctor id]" caption="Doctor id" attribute="1" defaultMemberUniqueName="[Range 1].[Doctor id].[All]" allUniqueName="[Range 1].[Doctor id].[All]" dimensionUniqueName="[Range 1]" displayFolder="" count="2" memberValueDatatype="130" unbalanced="0"/>
    <cacheHierarchy uniqueName="[Range 1].[Doctor name]" caption="Doctor name" attribute="1" defaultMemberUniqueName="[Range 1].[Doctor name].[All]" allUniqueName="[Range 1].[Doctor name].[All]" dimensionUniqueName="[Range 1]" displayFolder="" count="2" memberValueDatatype="130" unbalanced="0">
      <fieldsUsage count="2">
        <fieldUsage x="-1"/>
        <fieldUsage x="1"/>
      </fieldsUsage>
    </cacheHierarchy>
    <cacheHierarchy uniqueName="[Range 1].[Treatment_Id]" caption="Treatment_Id" attribute="1" defaultMemberUniqueName="[Range 1].[Treatment_Id].[All]" allUniqueName="[Range 1].[Treatment_Id].[All]" dimensionUniqueName="[Range 1]" displayFolder="" count="2" memberValueDatatype="130" unbalanced="0"/>
    <cacheHierarchy uniqueName="[Range 1].[Treatment_Type]" caption="Treatment_Type" attribute="1" defaultMemberUniqueName="[Range 1].[Treatment_Type].[All]" allUniqueName="[Range 1].[Treatment_Type].[All]" dimensionUniqueName="[Range 1]" displayFolder="" count="2" memberValueDatatype="130" unbalanced="0"/>
    <cacheHierarchy uniqueName="[Range 1].[Bill_Date]" caption="Bill_Date" attribute="1" time="1" defaultMemberUniqueName="[Range 1].[Bill_Date].[All]" allUniqueName="[Range 1].[Bill_Date].[All]" dimensionUniqueName="[Range 1]" displayFolder="" count="2" memberValueDatatype="7" unbalanced="0">
      <fieldsUsage count="2">
        <fieldUsage x="-1"/>
        <fieldUsage x="2"/>
      </fieldsUsage>
    </cacheHierarchy>
    <cacheHierarchy uniqueName="[Range 1].[Month]" caption="Month" attribute="1" defaultMemberUniqueName="[Range 1].[Month].[All]" allUniqueName="[Range 1].[Month].[All]" dimensionUniqueName="[Range 1]" displayFolder="" count="2" memberValueDatatype="130" unbalanced="0"/>
    <cacheHierarchy uniqueName="[Range 1].[Amount]" caption="Amount" attribute="1" defaultMemberUniqueName="[Range 1].[Amount].[All]" allUniqueName="[Range 1].[Amount].[All]" dimensionUniqueName="[Range 1]" displayFolder="" count="2" memberValueDatatype="5" unbalanced="0"/>
    <cacheHierarchy uniqueName="[Range 1].[Payment_Method]" caption="Payment_Method" attribute="1" defaultMemberUniqueName="[Range 1].[Payment_Method].[All]" allUniqueName="[Range 1].[Payment_Method].[All]" dimensionUniqueName="[Range 1]" displayFolder="" count="2" memberValueDatatype="130" unbalanced="0"/>
    <cacheHierarchy uniqueName="[Range 1].[Payment_Status]" caption="Payment_Status" attribute="1" defaultMemberUniqueName="[Range 1].[Payment_Status].[All]" allUniqueName="[Range 1].[Payment_Status].[All]" dimensionUniqueName="[Range 1]" displayFolder="" count="2" memberValueDatatype="130" unbalanced="0"/>
    <cacheHierarchy uniqueName="[Range 2].[Patient_Id]" caption="Patient_Id" attribute="1" defaultMemberUniqueName="[Range 2].[Patient_Id].[All]" allUniqueName="[Range 2].[Patient_Id].[All]" dimensionUniqueName="[Range 2]" displayFolder="" count="2" memberValueDatatype="130" unbalanced="0"/>
    <cacheHierarchy uniqueName="[Range 2].[First_Name]" caption="First_Name" attribute="1" defaultMemberUniqueName="[Range 2].[First_Name].[All]" allUniqueName="[Range 2].[First_Name].[All]" dimensionUniqueName="[Range 2]" displayFolder="" count="2" memberValueDatatype="130" unbalanced="0"/>
    <cacheHierarchy uniqueName="[Range 2].[Last_Name]" caption="Last_Name" attribute="1" defaultMemberUniqueName="[Range 2].[Last_Name].[All]" allUniqueName="[Range 2].[Last_Name].[All]" dimensionUniqueName="[Range 2]" displayFolder="" count="2" memberValueDatatype="130" unbalanced="0"/>
    <cacheHierarchy uniqueName="[Range 2].[Gender]" caption="Gender" attribute="1" defaultMemberUniqueName="[Range 2].[Gender].[All]" allUniqueName="[Range 2].[Gender].[All]" dimensionUniqueName="[Range 2]" displayFolder="" count="2" memberValueDatatype="130" unbalanced="0"/>
    <cacheHierarchy uniqueName="[Range 2].[Date_Of_Birth]" caption="Date_Of_Birth" attribute="1" time="1" defaultMemberUniqueName="[Range 2].[Date_Of_Birth].[All]" allUniqueName="[Range 2].[Date_Of_Birth].[All]" dimensionUniqueName="[Range 2]" displayFolder="" count="2" memberValueDatatype="7" unbalanced="0"/>
    <cacheHierarchy uniqueName="[Range 2].[Contact_Number]" caption="Contact_Number" attribute="1" defaultMemberUniqueName="[Range 2].[Contact_Number].[All]" allUniqueName="[Range 2].[Contact_Number].[All]" dimensionUniqueName="[Range 2]" displayFolder="" count="2" memberValueDatatype="5" unbalanced="0"/>
    <cacheHierarchy uniqueName="[Range 2].[Address]" caption="Address" attribute="1" defaultMemberUniqueName="[Range 2].[Address].[All]" allUniqueName="[Range 2].[Address].[All]" dimensionUniqueName="[Range 2]" displayFolder="" count="2" memberValueDatatype="130" unbalanced="0"/>
    <cacheHierarchy uniqueName="[Range 2].[Registration_Date]" caption="Registration_Date" attribute="1" time="1" defaultMemberUniqueName="[Range 2].[Registration_Date].[All]" allUniqueName="[Range 2].[Registration_Date].[All]" dimensionUniqueName="[Range 2]" displayFolder="" count="2" memberValueDatatype="7" unbalanced="0"/>
    <cacheHierarchy uniqueName="[Range 2].[Insurance_Provider]" caption="Insurance_Provider" attribute="1" defaultMemberUniqueName="[Range 2].[Insurance_Provider].[All]" allUniqueName="[Range 2].[Insurance_Provider].[All]" dimensionUniqueName="[Range 2]" displayFolder="" count="2" memberValueDatatype="130" unbalanced="0"/>
    <cacheHierarchy uniqueName="[Range 2].[Insurance_Number]" caption="Insurance_Number" attribute="1" defaultMemberUniqueName="[Range 2].[Insurance_Number].[All]" allUniqueName="[Range 2].[Insurance_Number].[All]" dimensionUniqueName="[Range 2]" displayFolder="" count="2" memberValueDatatype="130" unbalanced="0"/>
    <cacheHierarchy uniqueName="[Range 2].[Email]" caption="Email" attribute="1" defaultMemberUniqueName="[Range 2].[Email].[All]" allUniqueName="[Range 2].[Email].[All]" dimensionUniqueName="[Range 2]" displayFolder="" count="2" memberValueDatatype="130" unbalanced="0"/>
    <cacheHierarchy uniqueName="[Range 3].[Treatment_Id]" caption="Treatment_Id" attribute="1" defaultMemberUniqueName="[Range 3].[Treatment_Id].[All]" allUniqueName="[Range 3].[Treatment_Id].[All]" dimensionUniqueName="[Range 3]" displayFolder="" count="2" memberValueDatatype="130" unbalanced="0"/>
    <cacheHierarchy uniqueName="[Range 3].[Appointment_Id]" caption="Appointment_Id" attribute="1" defaultMemberUniqueName="[Range 3].[Appointment_Id].[All]" allUniqueName="[Range 3].[Appointment_Id].[All]" dimensionUniqueName="[Range 3]" displayFolder="" count="2" memberValueDatatype="130" unbalanced="0"/>
    <cacheHierarchy uniqueName="[Range 3].[Treatment_Type]" caption="Treatment_Type" attribute="1" defaultMemberUniqueName="[Range 3].[Treatment_Type].[All]" allUniqueName="[Range 3].[Treatment_Type].[All]" dimensionUniqueName="[Range 3]" displayFolder="" count="2" memberValueDatatype="130" unbalanced="0"/>
    <cacheHierarchy uniqueName="[Range 3].[Description]" caption="Description" attribute="1" defaultMemberUniqueName="[Range 3].[Description].[All]" allUniqueName="[Range 3].[Description].[All]" dimensionUniqueName="[Range 3]" displayFolder="" count="2" memberValueDatatype="130" unbalanced="0"/>
    <cacheHierarchy uniqueName="[Range 3].[Cost]" caption="Cost" attribute="1" defaultMemberUniqueName="[Range 3].[Cost].[All]" allUniqueName="[Range 3].[Cost].[All]" dimensionUniqueName="[Range 3]" displayFolder="" count="2" memberValueDatatype="5" unbalanced="0"/>
    <cacheHierarchy uniqueName="[Range 3].[Treatment_Date]" caption="Treatment_Date" attribute="1" time="1" defaultMemberUniqueName="[Range 3].[Treatment_Date].[All]" allUniqueName="[Range 3].[Treatment_Date].[All]" dimensionUniqueName="[Range 3]" displayFolder="" count="2" memberValueDatatype="7" unbalanced="0"/>
    <cacheHierarchy uniqueName="[Range 4].[Doctor_Id]" caption="Doctor_Id" attribute="1" defaultMemberUniqueName="[Range 4].[Doctor_Id].[All]" allUniqueName="[Range 4].[Doctor_Id].[All]" dimensionUniqueName="[Range 4]" displayFolder="" count="2" memberValueDatatype="130" unbalanced="0"/>
    <cacheHierarchy uniqueName="[Range 4].[First_Name]" caption="First_Name" attribute="1" defaultMemberUniqueName="[Range 4].[First_Name].[All]" allUniqueName="[Range 4].[First_Name].[All]" dimensionUniqueName="[Range 4]" displayFolder="" count="2" memberValueDatatype="130" unbalanced="0"/>
    <cacheHierarchy uniqueName="[Range 4].[Last_Name]" caption="Last_Name" attribute="1" defaultMemberUniqueName="[Range 4].[Last_Name].[All]" allUniqueName="[Range 4].[Last_Name].[All]" dimensionUniqueName="[Range 4]" displayFolder="" count="2" memberValueDatatype="130" unbalanced="0"/>
    <cacheHierarchy uniqueName="[Range 4].[Full Name]" caption="Full Name" attribute="1" defaultMemberUniqueName="[Range 4].[Full Name].[All]" allUniqueName="[Range 4].[Full Name].[All]" dimensionUniqueName="[Range 4]" displayFolder="" count="2" memberValueDatatype="130" unbalanced="0"/>
    <cacheHierarchy uniqueName="[Range 4].[Specialization]" caption="Specialization" attribute="1" defaultMemberUniqueName="[Range 4].[Specialization].[All]" allUniqueName="[Range 4].[Specialization].[All]" dimensionUniqueName="[Range 4]" displayFolder="" count="2" memberValueDatatype="130" unbalanced="0"/>
    <cacheHierarchy uniqueName="[Range 4].[Phone_Number]" caption="Phone_Number" attribute="1" defaultMemberUniqueName="[Range 4].[Phone_Number].[All]" allUniqueName="[Range 4].[Phone_Number].[All]" dimensionUniqueName="[Range 4]" displayFolder="" count="2" memberValueDatatype="5" unbalanced="0"/>
    <cacheHierarchy uniqueName="[Range 4].[Years_Experience]" caption="Years_Experience" attribute="1" defaultMemberUniqueName="[Range 4].[Years_Experience].[All]" allUniqueName="[Range 4].[Years_Experience].[All]" dimensionUniqueName="[Range 4]" displayFolder="" count="2" memberValueDatatype="20" unbalanced="0"/>
    <cacheHierarchy uniqueName="[Range 4].[Hospital_Branch]" caption="Hospital_Branch" attribute="1" defaultMemberUniqueName="[Range 4].[Hospital_Branch].[All]" allUniqueName="[Range 4].[Hospital_Branch].[All]" dimensionUniqueName="[Range 4]" displayFolder="" count="2" memberValueDatatype="130" unbalanced="0"/>
    <cacheHierarchy uniqueName="[Range 4].[Email]" caption="Email" attribute="1" defaultMemberUniqueName="[Range 4].[Email].[All]" allUniqueName="[Range 4].[Email].[All]" dimensionUniqueName="[Range 4]" displayFolder="" count="2"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Count of Appointment_Id]" caption="Count of Appointment_Id" measure="1" displayFolder="" measureGroup="Range" count="0" hidden="1">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1"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Patient_Id 2]" caption="Count of Patient_Id 2" measure="1" displayFolder="" measureGroup="Range 1" count="0" hidden="1">
      <extLst>
        <ext xmlns:x15="http://schemas.microsoft.com/office/spreadsheetml/2010/11/main" uri="{B97F6D7D-B522-45F9-BDA1-12C45D357490}">
          <x15:cacheHierarchy aggregatedColumn="9"/>
        </ext>
      </extLst>
    </cacheHierarchy>
    <cacheHierarchy uniqueName="[Measures].[Count of Patient_Id 3]" caption="Count of Patient_Id 3" measure="1" displayFolder="" measureGroup="Range 2" count="0" hidden="1">
      <extLst>
        <ext xmlns:x15="http://schemas.microsoft.com/office/spreadsheetml/2010/11/main" uri="{B97F6D7D-B522-45F9-BDA1-12C45D357490}">
          <x15:cacheHierarchy aggregatedColumn="19"/>
        </ext>
      </extLst>
    </cacheHierarchy>
    <cacheHierarchy uniqueName="[Measures].[Count of Treatment_Id]" caption="Count of Treatment_Id" measure="1" displayFolder="" measureGroup="Range 1" count="0" hidden="1">
      <extLst>
        <ext xmlns:x15="http://schemas.microsoft.com/office/spreadsheetml/2010/11/main" uri="{B97F6D7D-B522-45F9-BDA1-12C45D357490}">
          <x15:cacheHierarchy aggregatedColumn="12"/>
        </ext>
      </extLst>
    </cacheHierarchy>
    <cacheHierarchy uniqueName="[Measures].[Count of Appointment_Id 2]" caption="Count of Appointment_Id 2" measure="1" displayFolder="" measureGroup="Range 3" count="0" hidden="1">
      <extLst>
        <ext xmlns:x15="http://schemas.microsoft.com/office/spreadsheetml/2010/11/main" uri="{B97F6D7D-B522-45F9-BDA1-12C45D357490}">
          <x15:cacheHierarchy aggregatedColumn="31"/>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12">
    <map measureGroup="0" dimension="1"/>
    <map measureGroup="0" dimension="3"/>
    <map measureGroup="0" dimension="5"/>
    <map measureGroup="1" dimension="2"/>
    <map measureGroup="1" dimension="3"/>
    <map measureGroup="1" dimension="5"/>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ED AFSAL" refreshedDate="46280.422346527776" backgroundQuery="1" createdVersion="8" refreshedVersion="8" minRefreshableVersion="3" recordCount="0" supportSubquery="1" supportAdvancedDrill="1" xr:uid="{880A73C7-9EBD-4DCC-8A92-6356DCA8ABE4}">
  <cacheSource type="external" connectionId="1"/>
  <cacheFields count="1">
    <cacheField name="[Range 1].[Bill_Date].[Bill_Date]" caption="Bill_Date" numFmtId="0" hierarchy="14" level="1">
      <sharedItems containsSemiMixedTypes="0" containsNonDate="0" containsString="0"/>
    </cacheField>
  </cacheFields>
  <cacheHierarchies count="58">
    <cacheHierarchy uniqueName="[Range].[Appointment_Id]" caption="Appointment_Id" attribute="1" defaultMemberUniqueName="[Range].[Appointment_Id].[All]" allUniqueName="[Range].[Appointment_Id].[All]" dimensionUniqueName="[Range]" displayFolder="" count="0" memberValueDatatype="130" unbalanced="0"/>
    <cacheHierarchy uniqueName="[Range].[Patient_Id]" caption="Patient_Id" attribute="1" defaultMemberUniqueName="[Range].[Patient_Id].[All]" allUniqueName="[Range].[Patient_Id].[All]" dimensionUniqueName="[Range]" displayFolder="" count="0" memberValueDatatype="130" unbalanced="0"/>
    <cacheHierarchy uniqueName="[Range].[Doctor_Id]" caption="Doctor_Id" attribute="1" defaultMemberUniqueName="[Range].[Doctor_Id].[All]" allUniqueName="[Range].[Doctor_Id].[All]" dimensionUniqueName="[Range]" displayFolder="" count="0" memberValueDatatype="130" unbalanced="0"/>
    <cacheHierarchy uniqueName="[Range].[Doctor Name]" caption="Doctor Name" attribute="1" defaultMemberUniqueName="[Range].[Doctor Name].[All]" allUniqueName="[Range].[Doctor Name].[All]" dimensionUniqueName="[Range]" displayFolder="" count="0" memberValueDatatype="130" unbalanced="0"/>
    <cacheHierarchy uniqueName="[Range].[Appointment_Date]" caption="Appointment_Date" attribute="1" time="1" defaultMemberUniqueName="[Range].[Appointment_Date].[All]" allUniqueName="[Range].[Appointment_Date].[All]" dimensionUniqueName="[Range]" displayFolder="" count="0" memberValueDatatype="7" unbalanced="0"/>
    <cacheHierarchy uniqueName="[Range].[Appointment_Time]" caption="Appointment_Time" attribute="1" time="1" defaultMemberUniqueName="[Range].[Appointment_Time].[All]" allUniqueName="[Range].[Appointment_Time].[All]" dimensionUniqueName="[Range]" displayFolder="" count="0" memberValueDatatype="7" unbalanced="0"/>
    <cacheHierarchy uniqueName="[Range].[Reason_For_Visit]" caption="Reason_For_Visit" attribute="1" defaultMemberUniqueName="[Range].[Reason_For_Visit].[All]" allUniqueName="[Range].[Reason_For_Visit].[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 1].[Bill_Id]" caption="Bill_Id" attribute="1" defaultMemberUniqueName="[Range 1].[Bill_Id].[All]" allUniqueName="[Range 1].[Bill_Id].[All]" dimensionUniqueName="[Range 1]" displayFolder="" count="0" memberValueDatatype="130" unbalanced="0"/>
    <cacheHierarchy uniqueName="[Range 1].[Patient_Id]" caption="Patient_Id" attribute="1" defaultMemberUniqueName="[Range 1].[Patient_Id].[All]" allUniqueName="[Range 1].[Patient_Id].[All]" dimensionUniqueName="[Range 1]" displayFolder="" count="0" memberValueDatatype="130" unbalanced="0"/>
    <cacheHierarchy uniqueName="[Range 1].[Doctor id]" caption="Doctor id" attribute="1" defaultMemberUniqueName="[Range 1].[Doctor id].[All]" allUniqueName="[Range 1].[Doctor id].[All]" dimensionUniqueName="[Range 1]" displayFolder="" count="0" memberValueDatatype="130" unbalanced="0"/>
    <cacheHierarchy uniqueName="[Range 1].[Doctor name]" caption="Doctor name" attribute="1" defaultMemberUniqueName="[Range 1].[Doctor name].[All]" allUniqueName="[Range 1].[Doctor name].[All]" dimensionUniqueName="[Range 1]" displayFolder="" count="0" memberValueDatatype="130" unbalanced="0"/>
    <cacheHierarchy uniqueName="[Range 1].[Treatment_Id]" caption="Treatment_Id" attribute="1" defaultMemberUniqueName="[Range 1].[Treatment_Id].[All]" allUniqueName="[Range 1].[Treatment_Id].[All]" dimensionUniqueName="[Range 1]" displayFolder="" count="0" memberValueDatatype="130" unbalanced="0"/>
    <cacheHierarchy uniqueName="[Range 1].[Treatment_Type]" caption="Treatment_Type" attribute="1" defaultMemberUniqueName="[Range 1].[Treatment_Type].[All]" allUniqueName="[Range 1].[Treatment_Type].[All]" dimensionUniqueName="[Range 1]" displayFolder="" count="2" memberValueDatatype="130" unbalanced="0"/>
    <cacheHierarchy uniqueName="[Range 1].[Bill_Date]" caption="Bill_Date" attribute="1" time="1" defaultMemberUniqueName="[Range 1].[Bill_Date].[All]" allUniqueName="[Range 1].[Bill_Date].[All]" dimensionUniqueName="[Range 1]" displayFolder="" count="2" memberValueDatatype="7" unbalanced="0">
      <fieldsUsage count="2">
        <fieldUsage x="-1"/>
        <fieldUsage x="0"/>
      </fieldsUsage>
    </cacheHierarchy>
    <cacheHierarchy uniqueName="[Range 1].[Month]" caption="Month" attribute="1" defaultMemberUniqueName="[Range 1].[Month].[All]" allUniqueName="[Range 1].[Month].[All]" dimensionUniqueName="[Range 1]" displayFolder="" count="2" memberValueDatatype="130" unbalanced="0"/>
    <cacheHierarchy uniqueName="[Range 1].[Amount]" caption="Amount" attribute="1" defaultMemberUniqueName="[Range 1].[Amount].[All]" allUniqueName="[Range 1].[Am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Payment_Status]" caption="Payment_Status" attribute="1" defaultMemberUniqueName="[Range 1].[Payment_Status].[All]" allUniqueName="[Range 1].[Payment_Status].[All]" dimensionUniqueName="[Range 1]" displayFolder="" count="0" memberValueDatatype="130" unbalanced="0"/>
    <cacheHierarchy uniqueName="[Range 2].[Patient_Id]" caption="Patient_Id" attribute="1" defaultMemberUniqueName="[Range 2].[Patient_Id].[All]" allUniqueName="[Range 2].[Patient_Id].[All]" dimensionUniqueName="[Range 2]" displayFolder="" count="0" memberValueDatatype="130" unbalanced="0"/>
    <cacheHierarchy uniqueName="[Range 2].[First_Name]" caption="First_Name" attribute="1" defaultMemberUniqueName="[Range 2].[First_Name].[All]" allUniqueName="[Range 2].[First_Name].[All]" dimensionUniqueName="[Range 2]" displayFolder="" count="0" memberValueDatatype="130" unbalanced="0"/>
    <cacheHierarchy uniqueName="[Range 2].[Last_Name]" caption="Last_Name" attribute="1" defaultMemberUniqueName="[Range 2].[Last_Name].[All]" allUniqueName="[Range 2].[Last_Nam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Date_Of_Birth]" caption="Date_Of_Birth" attribute="1" time="1" defaultMemberUniqueName="[Range 2].[Date_Of_Birth].[All]" allUniqueName="[Range 2].[Date_Of_Birth].[All]" dimensionUniqueName="[Range 2]" displayFolder="" count="0" memberValueDatatype="7" unbalanced="0"/>
    <cacheHierarchy uniqueName="[Range 2].[Contact_Number]" caption="Contact_Number" attribute="1" defaultMemberUniqueName="[Range 2].[Contact_Number].[All]" allUniqueName="[Range 2].[Contact_Number].[All]" dimensionUniqueName="[Range 2]" displayFolder="" count="0" memberValueDatatype="5" unbalanced="0"/>
    <cacheHierarchy uniqueName="[Range 2].[Address]" caption="Address" attribute="1" defaultMemberUniqueName="[Range 2].[Address].[All]" allUniqueName="[Range 2].[Address].[All]" dimensionUniqueName="[Range 2]" displayFolder="" count="0" memberValueDatatype="130" unbalanced="0"/>
    <cacheHierarchy uniqueName="[Range 2].[Registration_Date]" caption="Registration_Date" attribute="1" time="1" defaultMemberUniqueName="[Range 2].[Registration_Date].[All]" allUniqueName="[Range 2].[Registration_Date].[All]" dimensionUniqueName="[Range 2]" displayFolder="" count="0" memberValueDatatype="7" unbalanced="0"/>
    <cacheHierarchy uniqueName="[Range 2].[Insurance_Provider]" caption="Insurance_Provider" attribute="1" defaultMemberUniqueName="[Range 2].[Insurance_Provider].[All]" allUniqueName="[Range 2].[Insurance_Provider].[All]" dimensionUniqueName="[Range 2]" displayFolder="" count="0" memberValueDatatype="130" unbalanced="0"/>
    <cacheHierarchy uniqueName="[Range 2].[Insurance_Number]" caption="Insurance_Number" attribute="1" defaultMemberUniqueName="[Range 2].[Insurance_Number].[All]" allUniqueName="[Range 2].[Insurance_Number].[All]" dimensionUniqueName="[Range 2]" displayFolder="" count="0" memberValueDatatype="130" unbalanced="0"/>
    <cacheHierarchy uniqueName="[Range 2].[Email]" caption="Email" attribute="1" defaultMemberUniqueName="[Range 2].[Email].[All]" allUniqueName="[Range 2].[Email].[All]" dimensionUniqueName="[Range 2]" displayFolder="" count="0" memberValueDatatype="130" unbalanced="0"/>
    <cacheHierarchy uniqueName="[Range 3].[Treatment_Id]" caption="Treatment_Id" attribute="1" defaultMemberUniqueName="[Range 3].[Treatment_Id].[All]" allUniqueName="[Range 3].[Treatment_Id].[All]" dimensionUniqueName="[Range 3]" displayFolder="" count="0" memberValueDatatype="130" unbalanced="0"/>
    <cacheHierarchy uniqueName="[Range 3].[Appointment_Id]" caption="Appointment_Id" attribute="1" defaultMemberUniqueName="[Range 3].[Appointment_Id].[All]" allUniqueName="[Range 3].[Appointment_Id].[All]" dimensionUniqueName="[Range 3]" displayFolder="" count="0" memberValueDatatype="130" unbalanced="0"/>
    <cacheHierarchy uniqueName="[Range 3].[Treatment_Type]" caption="Treatment_Type" attribute="1" defaultMemberUniqueName="[Range 3].[Treatment_Type].[All]" allUniqueName="[Range 3].[Treatment_Type].[All]" dimensionUniqueName="[Range 3]" displayFolder="" count="0" memberValueDatatype="130" unbalanced="0"/>
    <cacheHierarchy uniqueName="[Range 3].[Description]" caption="Description" attribute="1" defaultMemberUniqueName="[Range 3].[Description].[All]" allUniqueName="[Range 3].[Description].[All]" dimensionUniqueName="[Range 3]" displayFolder="" count="0" memberValueDatatype="130" unbalanced="0"/>
    <cacheHierarchy uniqueName="[Range 3].[Cost]" caption="Cost" attribute="1" defaultMemberUniqueName="[Range 3].[Cost].[All]" allUniqueName="[Range 3].[Cost].[All]" dimensionUniqueName="[Range 3]" displayFolder="" count="0" memberValueDatatype="5" unbalanced="0"/>
    <cacheHierarchy uniqueName="[Range 3].[Treatment_Date]" caption="Treatment_Date" attribute="1" time="1" defaultMemberUniqueName="[Range 3].[Treatment_Date].[All]" allUniqueName="[Range 3].[Treatment_Date].[All]" dimensionUniqueName="[Range 3]" displayFolder="" count="0" memberValueDatatype="7" unbalanced="0"/>
    <cacheHierarchy uniqueName="[Range 4].[Doctor_Id]" caption="Doctor_Id" attribute="1" defaultMemberUniqueName="[Range 4].[Doctor_Id].[All]" allUniqueName="[Range 4].[Doctor_Id].[All]" dimensionUniqueName="[Range 4]" displayFolder="" count="0" memberValueDatatype="130" unbalanced="0"/>
    <cacheHierarchy uniqueName="[Range 4].[First_Name]" caption="First_Name" attribute="1" defaultMemberUniqueName="[Range 4].[First_Name].[All]" allUniqueName="[Range 4].[First_Name].[All]" dimensionUniqueName="[Range 4]" displayFolder="" count="0" memberValueDatatype="130" unbalanced="0"/>
    <cacheHierarchy uniqueName="[Range 4].[Last_Name]" caption="Last_Name" attribute="1" defaultMemberUniqueName="[Range 4].[Last_Name].[All]" allUniqueName="[Range 4].[Last_Name].[All]" dimensionUniqueName="[Range 4]" displayFolder="" count="0" memberValueDatatype="130" unbalanced="0"/>
    <cacheHierarchy uniqueName="[Range 4].[Full Name]" caption="Full Name" attribute="1" defaultMemberUniqueName="[Range 4].[Full Name].[All]" allUniqueName="[Range 4].[Full Name].[All]" dimensionUniqueName="[Range 4]" displayFolder="" count="2" memberValueDatatype="130" unbalanced="0"/>
    <cacheHierarchy uniqueName="[Range 4].[Specialization]" caption="Specialization" attribute="1" defaultMemberUniqueName="[Range 4].[Specialization].[All]" allUniqueName="[Range 4].[Specialization].[All]" dimensionUniqueName="[Range 4]" displayFolder="" count="0" memberValueDatatype="130" unbalanced="0"/>
    <cacheHierarchy uniqueName="[Range 4].[Phone_Number]" caption="Phone_Number" attribute="1" defaultMemberUniqueName="[Range 4].[Phone_Number].[All]" allUniqueName="[Range 4].[Phone_Number].[All]" dimensionUniqueName="[Range 4]" displayFolder="" count="0" memberValueDatatype="5" unbalanced="0"/>
    <cacheHierarchy uniqueName="[Range 4].[Years_Experience]" caption="Years_Experience" attribute="1" defaultMemberUniqueName="[Range 4].[Years_Experience].[All]" allUniqueName="[Range 4].[Years_Experience].[All]" dimensionUniqueName="[Range 4]" displayFolder="" count="0" memberValueDatatype="20" unbalanced="0"/>
    <cacheHierarchy uniqueName="[Range 4].[Hospital_Branch]" caption="Hospital_Branch" attribute="1" defaultMemberUniqueName="[Range 4].[Hospital_Branch].[All]" allUniqueName="[Range 4].[Hospital_Branch].[All]" dimensionUniqueName="[Range 4]" displayFolder="" count="0" memberValueDatatype="130" unbalanced="0"/>
    <cacheHierarchy uniqueName="[Range 4].[Email]" caption="Email" attribute="1" defaultMemberUniqueName="[Range 4].[Email].[All]" allUniqueName="[Range 4].[Email].[All]" dimensionUniqueName="[Range 4]"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Count of Appointment_Id]" caption="Count of Appointment_Id" measure="1" displayFolder="" measureGroup="Range" count="0" hidden="1">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1" count="0" hidden="1">
      <extLst>
        <ext xmlns:x15="http://schemas.microsoft.com/office/spreadsheetml/2010/11/main" uri="{B97F6D7D-B522-45F9-BDA1-12C45D357490}">
          <x15:cacheHierarchy aggregatedColumn="16"/>
        </ext>
      </extLst>
    </cacheHierarchy>
    <cacheHierarchy uniqueName="[Measures].[Count of Patient_Id 2]" caption="Count of Patient_Id 2" measure="1" displayFolder="" measureGroup="Range 1" count="0" hidden="1">
      <extLst>
        <ext xmlns:x15="http://schemas.microsoft.com/office/spreadsheetml/2010/11/main" uri="{B97F6D7D-B522-45F9-BDA1-12C45D357490}">
          <x15:cacheHierarchy aggregatedColumn="9"/>
        </ext>
      </extLst>
    </cacheHierarchy>
    <cacheHierarchy uniqueName="[Measures].[Count of Patient_Id 3]" caption="Count of Patient_Id 3" measure="1" displayFolder="" measureGroup="Range 2" count="0" hidden="1">
      <extLst>
        <ext xmlns:x15="http://schemas.microsoft.com/office/spreadsheetml/2010/11/main" uri="{B97F6D7D-B522-45F9-BDA1-12C45D357490}">
          <x15:cacheHierarchy aggregatedColumn="19"/>
        </ext>
      </extLst>
    </cacheHierarchy>
    <cacheHierarchy uniqueName="[Measures].[Count of Treatment_Id]" caption="Count of Treatment_Id" measure="1" displayFolder="" measureGroup="Range 1" count="0" hidden="1">
      <extLst>
        <ext xmlns:x15="http://schemas.microsoft.com/office/spreadsheetml/2010/11/main" uri="{B97F6D7D-B522-45F9-BDA1-12C45D357490}">
          <x15:cacheHierarchy aggregatedColumn="12"/>
        </ext>
      </extLst>
    </cacheHierarchy>
    <cacheHierarchy uniqueName="[Measures].[Count of Appointment_Id 2]" caption="Count of Appointment_Id 2" measure="1" displayFolder="" measureGroup="Range 3" count="0" hidden="1">
      <extLst>
        <ext xmlns:x15="http://schemas.microsoft.com/office/spreadsheetml/2010/11/main" uri="{B97F6D7D-B522-45F9-BDA1-12C45D357490}">
          <x15:cacheHierarchy aggregatedColumn="31"/>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12">
    <map measureGroup="0" dimension="1"/>
    <map measureGroup="0" dimension="3"/>
    <map measureGroup="0" dimension="5"/>
    <map measureGroup="1" dimension="2"/>
    <map measureGroup="1" dimension="3"/>
    <map measureGroup="1" dimension="5"/>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ED AFSAL" refreshedDate="46280.422346527776" backgroundQuery="1" createdVersion="8" refreshedVersion="8" minRefreshableVersion="3" recordCount="0" supportSubquery="1" supportAdvancedDrill="1" xr:uid="{3D63538B-5446-4D3E-91E0-377A0A82E319}">
  <cacheSource type="external" connectionId="1"/>
  <cacheFields count="1">
    <cacheField name="[Range 1].[Bill_Date].[Bill_Date]" caption="Bill_Date" numFmtId="0" hierarchy="14" level="1">
      <sharedItems containsSemiMixedTypes="0" containsNonDate="0" containsString="0"/>
    </cacheField>
  </cacheFields>
  <cacheHierarchies count="58">
    <cacheHierarchy uniqueName="[Range].[Appointment_Id]" caption="Appointment_Id" attribute="1" defaultMemberUniqueName="[Range].[Appointment_Id].[All]" allUniqueName="[Range].[Appointment_Id].[All]" dimensionUniqueName="[Range]" displayFolder="" count="0" memberValueDatatype="130" unbalanced="0"/>
    <cacheHierarchy uniqueName="[Range].[Patient_Id]" caption="Patient_Id" attribute="1" defaultMemberUniqueName="[Range].[Patient_Id].[All]" allUniqueName="[Range].[Patient_Id].[All]" dimensionUniqueName="[Range]" displayFolder="" count="0" memberValueDatatype="130" unbalanced="0"/>
    <cacheHierarchy uniqueName="[Range].[Doctor_Id]" caption="Doctor_Id" attribute="1" defaultMemberUniqueName="[Range].[Doctor_Id].[All]" allUniqueName="[Range].[Doctor_Id].[All]" dimensionUniqueName="[Range]" displayFolder="" count="0" memberValueDatatype="130" unbalanced="0"/>
    <cacheHierarchy uniqueName="[Range].[Doctor Name]" caption="Doctor Name" attribute="1" defaultMemberUniqueName="[Range].[Doctor Name].[All]" allUniqueName="[Range].[Doctor Name].[All]" dimensionUniqueName="[Range]" displayFolder="" count="0" memberValueDatatype="130" unbalanced="0"/>
    <cacheHierarchy uniqueName="[Range].[Appointment_Date]" caption="Appointment_Date" attribute="1" time="1" defaultMemberUniqueName="[Range].[Appointment_Date].[All]" allUniqueName="[Range].[Appointment_Date].[All]" dimensionUniqueName="[Range]" displayFolder="" count="0" memberValueDatatype="7" unbalanced="0"/>
    <cacheHierarchy uniqueName="[Range].[Appointment_Time]" caption="Appointment_Time" attribute="1" time="1" defaultMemberUniqueName="[Range].[Appointment_Time].[All]" allUniqueName="[Range].[Appointment_Time].[All]" dimensionUniqueName="[Range]" displayFolder="" count="0" memberValueDatatype="7" unbalanced="0"/>
    <cacheHierarchy uniqueName="[Range].[Reason_For_Visit]" caption="Reason_For_Visit" attribute="1" defaultMemberUniqueName="[Range].[Reason_For_Visit].[All]" allUniqueName="[Range].[Reason_For_Visit].[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 1].[Bill_Id]" caption="Bill_Id" attribute="1" defaultMemberUniqueName="[Range 1].[Bill_Id].[All]" allUniqueName="[Range 1].[Bill_Id].[All]" dimensionUniqueName="[Range 1]" displayFolder="" count="0" memberValueDatatype="130" unbalanced="0"/>
    <cacheHierarchy uniqueName="[Range 1].[Patient_Id]" caption="Patient_Id" attribute="1" defaultMemberUniqueName="[Range 1].[Patient_Id].[All]" allUniqueName="[Range 1].[Patient_Id].[All]" dimensionUniqueName="[Range 1]" displayFolder="" count="0" memberValueDatatype="130" unbalanced="0"/>
    <cacheHierarchy uniqueName="[Range 1].[Doctor id]" caption="Doctor id" attribute="1" defaultMemberUniqueName="[Range 1].[Doctor id].[All]" allUniqueName="[Range 1].[Doctor id].[All]" dimensionUniqueName="[Range 1]" displayFolder="" count="0" memberValueDatatype="130" unbalanced="0"/>
    <cacheHierarchy uniqueName="[Range 1].[Doctor name]" caption="Doctor name" attribute="1" defaultMemberUniqueName="[Range 1].[Doctor name].[All]" allUniqueName="[Range 1].[Doctor name].[All]" dimensionUniqueName="[Range 1]" displayFolder="" count="0" memberValueDatatype="130" unbalanced="0"/>
    <cacheHierarchy uniqueName="[Range 1].[Treatment_Id]" caption="Treatment_Id" attribute="1" defaultMemberUniqueName="[Range 1].[Treatment_Id].[All]" allUniqueName="[Range 1].[Treatment_Id].[All]" dimensionUniqueName="[Range 1]" displayFolder="" count="0" memberValueDatatype="130" unbalanced="0"/>
    <cacheHierarchy uniqueName="[Range 1].[Treatment_Type]" caption="Treatment_Type" attribute="1" defaultMemberUniqueName="[Range 1].[Treatment_Type].[All]" allUniqueName="[Range 1].[Treatment_Type].[All]" dimensionUniqueName="[Range 1]" displayFolder="" count="2" memberValueDatatype="130" unbalanced="0"/>
    <cacheHierarchy uniqueName="[Range 1].[Bill_Date]" caption="Bill_Date" attribute="1" time="1" defaultMemberUniqueName="[Range 1].[Bill_Date].[All]" allUniqueName="[Range 1].[Bill_Date].[All]" dimensionUniqueName="[Range 1]" displayFolder="" count="2" memberValueDatatype="7" unbalanced="0">
      <fieldsUsage count="2">
        <fieldUsage x="-1"/>
        <fieldUsage x="0"/>
      </fieldsUsage>
    </cacheHierarchy>
    <cacheHierarchy uniqueName="[Range 1].[Month]" caption="Month" attribute="1" defaultMemberUniqueName="[Range 1].[Month].[All]" allUniqueName="[Range 1].[Month].[All]" dimensionUniqueName="[Range 1]" displayFolder="" count="2" memberValueDatatype="130" unbalanced="0"/>
    <cacheHierarchy uniqueName="[Range 1].[Amount]" caption="Amount" attribute="1" defaultMemberUniqueName="[Range 1].[Amount].[All]" allUniqueName="[Range 1].[Am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Payment_Status]" caption="Payment_Status" attribute="1" defaultMemberUniqueName="[Range 1].[Payment_Status].[All]" allUniqueName="[Range 1].[Payment_Status].[All]" dimensionUniqueName="[Range 1]" displayFolder="" count="0" memberValueDatatype="130" unbalanced="0"/>
    <cacheHierarchy uniqueName="[Range 2].[Patient_Id]" caption="Patient_Id" attribute="1" defaultMemberUniqueName="[Range 2].[Patient_Id].[All]" allUniqueName="[Range 2].[Patient_Id].[All]" dimensionUniqueName="[Range 2]" displayFolder="" count="0" memberValueDatatype="130" unbalanced="0"/>
    <cacheHierarchy uniqueName="[Range 2].[First_Name]" caption="First_Name" attribute="1" defaultMemberUniqueName="[Range 2].[First_Name].[All]" allUniqueName="[Range 2].[First_Name].[All]" dimensionUniqueName="[Range 2]" displayFolder="" count="0" memberValueDatatype="130" unbalanced="0"/>
    <cacheHierarchy uniqueName="[Range 2].[Last_Name]" caption="Last_Name" attribute="1" defaultMemberUniqueName="[Range 2].[Last_Name].[All]" allUniqueName="[Range 2].[Last_Nam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Date_Of_Birth]" caption="Date_Of_Birth" attribute="1" time="1" defaultMemberUniqueName="[Range 2].[Date_Of_Birth].[All]" allUniqueName="[Range 2].[Date_Of_Birth].[All]" dimensionUniqueName="[Range 2]" displayFolder="" count="0" memberValueDatatype="7" unbalanced="0"/>
    <cacheHierarchy uniqueName="[Range 2].[Contact_Number]" caption="Contact_Number" attribute="1" defaultMemberUniqueName="[Range 2].[Contact_Number].[All]" allUniqueName="[Range 2].[Contact_Number].[All]" dimensionUniqueName="[Range 2]" displayFolder="" count="0" memberValueDatatype="5" unbalanced="0"/>
    <cacheHierarchy uniqueName="[Range 2].[Address]" caption="Address" attribute="1" defaultMemberUniqueName="[Range 2].[Address].[All]" allUniqueName="[Range 2].[Address].[All]" dimensionUniqueName="[Range 2]" displayFolder="" count="0" memberValueDatatype="130" unbalanced="0"/>
    <cacheHierarchy uniqueName="[Range 2].[Registration_Date]" caption="Registration_Date" attribute="1" time="1" defaultMemberUniqueName="[Range 2].[Registration_Date].[All]" allUniqueName="[Range 2].[Registration_Date].[All]" dimensionUniqueName="[Range 2]" displayFolder="" count="0" memberValueDatatype="7" unbalanced="0"/>
    <cacheHierarchy uniqueName="[Range 2].[Insurance_Provider]" caption="Insurance_Provider" attribute="1" defaultMemberUniqueName="[Range 2].[Insurance_Provider].[All]" allUniqueName="[Range 2].[Insurance_Provider].[All]" dimensionUniqueName="[Range 2]" displayFolder="" count="0" memberValueDatatype="130" unbalanced="0"/>
    <cacheHierarchy uniqueName="[Range 2].[Insurance_Number]" caption="Insurance_Number" attribute="1" defaultMemberUniqueName="[Range 2].[Insurance_Number].[All]" allUniqueName="[Range 2].[Insurance_Number].[All]" dimensionUniqueName="[Range 2]" displayFolder="" count="0" memberValueDatatype="130" unbalanced="0"/>
    <cacheHierarchy uniqueName="[Range 2].[Email]" caption="Email" attribute="1" defaultMemberUniqueName="[Range 2].[Email].[All]" allUniqueName="[Range 2].[Email].[All]" dimensionUniqueName="[Range 2]" displayFolder="" count="0" memberValueDatatype="130" unbalanced="0"/>
    <cacheHierarchy uniqueName="[Range 3].[Treatment_Id]" caption="Treatment_Id" attribute="1" defaultMemberUniqueName="[Range 3].[Treatment_Id].[All]" allUniqueName="[Range 3].[Treatment_Id].[All]" dimensionUniqueName="[Range 3]" displayFolder="" count="0" memberValueDatatype="130" unbalanced="0"/>
    <cacheHierarchy uniqueName="[Range 3].[Appointment_Id]" caption="Appointment_Id" attribute="1" defaultMemberUniqueName="[Range 3].[Appointment_Id].[All]" allUniqueName="[Range 3].[Appointment_Id].[All]" dimensionUniqueName="[Range 3]" displayFolder="" count="0" memberValueDatatype="130" unbalanced="0"/>
    <cacheHierarchy uniqueName="[Range 3].[Treatment_Type]" caption="Treatment_Type" attribute="1" defaultMemberUniqueName="[Range 3].[Treatment_Type].[All]" allUniqueName="[Range 3].[Treatment_Type].[All]" dimensionUniqueName="[Range 3]" displayFolder="" count="0" memberValueDatatype="130" unbalanced="0"/>
    <cacheHierarchy uniqueName="[Range 3].[Description]" caption="Description" attribute="1" defaultMemberUniqueName="[Range 3].[Description].[All]" allUniqueName="[Range 3].[Description].[All]" dimensionUniqueName="[Range 3]" displayFolder="" count="0" memberValueDatatype="130" unbalanced="0"/>
    <cacheHierarchy uniqueName="[Range 3].[Cost]" caption="Cost" attribute="1" defaultMemberUniqueName="[Range 3].[Cost].[All]" allUniqueName="[Range 3].[Cost].[All]" dimensionUniqueName="[Range 3]" displayFolder="" count="0" memberValueDatatype="5" unbalanced="0"/>
    <cacheHierarchy uniqueName="[Range 3].[Treatment_Date]" caption="Treatment_Date" attribute="1" time="1" defaultMemberUniqueName="[Range 3].[Treatment_Date].[All]" allUniqueName="[Range 3].[Treatment_Date].[All]" dimensionUniqueName="[Range 3]" displayFolder="" count="0" memberValueDatatype="7" unbalanced="0"/>
    <cacheHierarchy uniqueName="[Range 4].[Doctor_Id]" caption="Doctor_Id" attribute="1" defaultMemberUniqueName="[Range 4].[Doctor_Id].[All]" allUniqueName="[Range 4].[Doctor_Id].[All]" dimensionUniqueName="[Range 4]" displayFolder="" count="0" memberValueDatatype="130" unbalanced="0"/>
    <cacheHierarchy uniqueName="[Range 4].[First_Name]" caption="First_Name" attribute="1" defaultMemberUniqueName="[Range 4].[First_Name].[All]" allUniqueName="[Range 4].[First_Name].[All]" dimensionUniqueName="[Range 4]" displayFolder="" count="0" memberValueDatatype="130" unbalanced="0"/>
    <cacheHierarchy uniqueName="[Range 4].[Last_Name]" caption="Last_Name" attribute="1" defaultMemberUniqueName="[Range 4].[Last_Name].[All]" allUniqueName="[Range 4].[Last_Name].[All]" dimensionUniqueName="[Range 4]" displayFolder="" count="0" memberValueDatatype="130" unbalanced="0"/>
    <cacheHierarchy uniqueName="[Range 4].[Full Name]" caption="Full Name" attribute="1" defaultMemberUniqueName="[Range 4].[Full Name].[All]" allUniqueName="[Range 4].[Full Name].[All]" dimensionUniqueName="[Range 4]" displayFolder="" count="2" memberValueDatatype="130" unbalanced="0"/>
    <cacheHierarchy uniqueName="[Range 4].[Specialization]" caption="Specialization" attribute="1" defaultMemberUniqueName="[Range 4].[Specialization].[All]" allUniqueName="[Range 4].[Specialization].[All]" dimensionUniqueName="[Range 4]" displayFolder="" count="0" memberValueDatatype="130" unbalanced="0"/>
    <cacheHierarchy uniqueName="[Range 4].[Phone_Number]" caption="Phone_Number" attribute="1" defaultMemberUniqueName="[Range 4].[Phone_Number].[All]" allUniqueName="[Range 4].[Phone_Number].[All]" dimensionUniqueName="[Range 4]" displayFolder="" count="0" memberValueDatatype="5" unbalanced="0"/>
    <cacheHierarchy uniqueName="[Range 4].[Years_Experience]" caption="Years_Experience" attribute="1" defaultMemberUniqueName="[Range 4].[Years_Experience].[All]" allUniqueName="[Range 4].[Years_Experience].[All]" dimensionUniqueName="[Range 4]" displayFolder="" count="0" memberValueDatatype="20" unbalanced="0"/>
    <cacheHierarchy uniqueName="[Range 4].[Hospital_Branch]" caption="Hospital_Branch" attribute="1" defaultMemberUniqueName="[Range 4].[Hospital_Branch].[All]" allUniqueName="[Range 4].[Hospital_Branch].[All]" dimensionUniqueName="[Range 4]" displayFolder="" count="0" memberValueDatatype="130" unbalanced="0"/>
    <cacheHierarchy uniqueName="[Range 4].[Email]" caption="Email" attribute="1" defaultMemberUniqueName="[Range 4].[Email].[All]" allUniqueName="[Range 4].[Email].[All]" dimensionUniqueName="[Range 4]"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Count of Appointment_Id]" caption="Count of Appointment_Id" measure="1" displayFolder="" measureGroup="Range" count="0" hidden="1">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1" count="0" hidden="1">
      <extLst>
        <ext xmlns:x15="http://schemas.microsoft.com/office/spreadsheetml/2010/11/main" uri="{B97F6D7D-B522-45F9-BDA1-12C45D357490}">
          <x15:cacheHierarchy aggregatedColumn="16"/>
        </ext>
      </extLst>
    </cacheHierarchy>
    <cacheHierarchy uniqueName="[Measures].[Count of Patient_Id 2]" caption="Count of Patient_Id 2" measure="1" displayFolder="" measureGroup="Range 1" count="0" hidden="1">
      <extLst>
        <ext xmlns:x15="http://schemas.microsoft.com/office/spreadsheetml/2010/11/main" uri="{B97F6D7D-B522-45F9-BDA1-12C45D357490}">
          <x15:cacheHierarchy aggregatedColumn="9"/>
        </ext>
      </extLst>
    </cacheHierarchy>
    <cacheHierarchy uniqueName="[Measures].[Count of Patient_Id 3]" caption="Count of Patient_Id 3" measure="1" displayFolder="" measureGroup="Range 2" count="0" hidden="1">
      <extLst>
        <ext xmlns:x15="http://schemas.microsoft.com/office/spreadsheetml/2010/11/main" uri="{B97F6D7D-B522-45F9-BDA1-12C45D357490}">
          <x15:cacheHierarchy aggregatedColumn="19"/>
        </ext>
      </extLst>
    </cacheHierarchy>
    <cacheHierarchy uniqueName="[Measures].[Count of Treatment_Id]" caption="Count of Treatment_Id" measure="1" displayFolder="" measureGroup="Range 1" count="0" hidden="1">
      <extLst>
        <ext xmlns:x15="http://schemas.microsoft.com/office/spreadsheetml/2010/11/main" uri="{B97F6D7D-B522-45F9-BDA1-12C45D357490}">
          <x15:cacheHierarchy aggregatedColumn="12"/>
        </ext>
      </extLst>
    </cacheHierarchy>
    <cacheHierarchy uniqueName="[Measures].[Count of Appointment_Id 2]" caption="Count of Appointment_Id 2" measure="1" displayFolder="" measureGroup="Range 3" count="0" hidden="1">
      <extLst>
        <ext xmlns:x15="http://schemas.microsoft.com/office/spreadsheetml/2010/11/main" uri="{B97F6D7D-B522-45F9-BDA1-12C45D357490}">
          <x15:cacheHierarchy aggregatedColumn="31"/>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12">
    <map measureGroup="0" dimension="1"/>
    <map measureGroup="0" dimension="3"/>
    <map measureGroup="0" dimension="5"/>
    <map measureGroup="1" dimension="2"/>
    <map measureGroup="1" dimension="3"/>
    <map measureGroup="1" dimension="5"/>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ED AFSAL" refreshedDate="46280.422346527776" backgroundQuery="1" createdVersion="8" refreshedVersion="8" minRefreshableVersion="3" recordCount="0" supportSubquery="1" supportAdvancedDrill="1" xr:uid="{A7EDA490-E0BE-4A5A-9F31-611C49E5C769}">
  <cacheSource type="external" connectionId="1"/>
  <cacheFields count="1">
    <cacheField name="[Range 1].[Bill_Date].[Bill_Date]" caption="Bill_Date" numFmtId="0" hierarchy="14" level="1">
      <sharedItems containsSemiMixedTypes="0" containsNonDate="0" containsString="0"/>
    </cacheField>
  </cacheFields>
  <cacheHierarchies count="58">
    <cacheHierarchy uniqueName="[Range].[Appointment_Id]" caption="Appointment_Id" attribute="1" defaultMemberUniqueName="[Range].[Appointment_Id].[All]" allUniqueName="[Range].[Appointment_Id].[All]" dimensionUniqueName="[Range]" displayFolder="" count="0" memberValueDatatype="130" unbalanced="0"/>
    <cacheHierarchy uniqueName="[Range].[Patient_Id]" caption="Patient_Id" attribute="1" defaultMemberUniqueName="[Range].[Patient_Id].[All]" allUniqueName="[Range].[Patient_Id].[All]" dimensionUniqueName="[Range]" displayFolder="" count="0" memberValueDatatype="130" unbalanced="0"/>
    <cacheHierarchy uniqueName="[Range].[Doctor_Id]" caption="Doctor_Id" attribute="1" defaultMemberUniqueName="[Range].[Doctor_Id].[All]" allUniqueName="[Range].[Doctor_Id].[All]" dimensionUniqueName="[Range]" displayFolder="" count="0" memberValueDatatype="130" unbalanced="0"/>
    <cacheHierarchy uniqueName="[Range].[Doctor Name]" caption="Doctor Name" attribute="1" defaultMemberUniqueName="[Range].[Doctor Name].[All]" allUniqueName="[Range].[Doctor Name].[All]" dimensionUniqueName="[Range]" displayFolder="" count="0" memberValueDatatype="130" unbalanced="0"/>
    <cacheHierarchy uniqueName="[Range].[Appointment_Date]" caption="Appointment_Date" attribute="1" time="1" defaultMemberUniqueName="[Range].[Appointment_Date].[All]" allUniqueName="[Range].[Appointment_Date].[All]" dimensionUniqueName="[Range]" displayFolder="" count="0" memberValueDatatype="7" unbalanced="0"/>
    <cacheHierarchy uniqueName="[Range].[Appointment_Time]" caption="Appointment_Time" attribute="1" time="1" defaultMemberUniqueName="[Range].[Appointment_Time].[All]" allUniqueName="[Range].[Appointment_Time].[All]" dimensionUniqueName="[Range]" displayFolder="" count="0" memberValueDatatype="7" unbalanced="0"/>
    <cacheHierarchy uniqueName="[Range].[Reason_For_Visit]" caption="Reason_For_Visit" attribute="1" defaultMemberUniqueName="[Range].[Reason_For_Visit].[All]" allUniqueName="[Range].[Reason_For_Visit].[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 1].[Bill_Id]" caption="Bill_Id" attribute="1" defaultMemberUniqueName="[Range 1].[Bill_Id].[All]" allUniqueName="[Range 1].[Bill_Id].[All]" dimensionUniqueName="[Range 1]" displayFolder="" count="0" memberValueDatatype="130" unbalanced="0"/>
    <cacheHierarchy uniqueName="[Range 1].[Patient_Id]" caption="Patient_Id" attribute="1" defaultMemberUniqueName="[Range 1].[Patient_Id].[All]" allUniqueName="[Range 1].[Patient_Id].[All]" dimensionUniqueName="[Range 1]" displayFolder="" count="0" memberValueDatatype="130" unbalanced="0"/>
    <cacheHierarchy uniqueName="[Range 1].[Doctor id]" caption="Doctor id" attribute="1" defaultMemberUniqueName="[Range 1].[Doctor id].[All]" allUniqueName="[Range 1].[Doctor id].[All]" dimensionUniqueName="[Range 1]" displayFolder="" count="0" memberValueDatatype="130" unbalanced="0"/>
    <cacheHierarchy uniqueName="[Range 1].[Doctor name]" caption="Doctor name" attribute="1" defaultMemberUniqueName="[Range 1].[Doctor name].[All]" allUniqueName="[Range 1].[Doctor name].[All]" dimensionUniqueName="[Range 1]" displayFolder="" count="0" memberValueDatatype="130" unbalanced="0"/>
    <cacheHierarchy uniqueName="[Range 1].[Treatment_Id]" caption="Treatment_Id" attribute="1" defaultMemberUniqueName="[Range 1].[Treatment_Id].[All]" allUniqueName="[Range 1].[Treatment_Id].[All]" dimensionUniqueName="[Range 1]" displayFolder="" count="0" memberValueDatatype="130" unbalanced="0"/>
    <cacheHierarchy uniqueName="[Range 1].[Treatment_Type]" caption="Treatment_Type" attribute="1" defaultMemberUniqueName="[Range 1].[Treatment_Type].[All]" allUniqueName="[Range 1].[Treatment_Type].[All]" dimensionUniqueName="[Range 1]" displayFolder="" count="2" memberValueDatatype="130" unbalanced="0"/>
    <cacheHierarchy uniqueName="[Range 1].[Bill_Date]" caption="Bill_Date" attribute="1" time="1" defaultMemberUniqueName="[Range 1].[Bill_Date].[All]" allUniqueName="[Range 1].[Bill_Date].[All]" dimensionUniqueName="[Range 1]" displayFolder="" count="2" memberValueDatatype="7" unbalanced="0">
      <fieldsUsage count="2">
        <fieldUsage x="-1"/>
        <fieldUsage x="0"/>
      </fieldsUsage>
    </cacheHierarchy>
    <cacheHierarchy uniqueName="[Range 1].[Month]" caption="Month" attribute="1" defaultMemberUniqueName="[Range 1].[Month].[All]" allUniqueName="[Range 1].[Month].[All]" dimensionUniqueName="[Range 1]" displayFolder="" count="2" memberValueDatatype="130" unbalanced="0"/>
    <cacheHierarchy uniqueName="[Range 1].[Amount]" caption="Amount" attribute="1" defaultMemberUniqueName="[Range 1].[Amount].[All]" allUniqueName="[Range 1].[Am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Payment_Status]" caption="Payment_Status" attribute="1" defaultMemberUniqueName="[Range 1].[Payment_Status].[All]" allUniqueName="[Range 1].[Payment_Status].[All]" dimensionUniqueName="[Range 1]" displayFolder="" count="0" memberValueDatatype="130" unbalanced="0"/>
    <cacheHierarchy uniqueName="[Range 2].[Patient_Id]" caption="Patient_Id" attribute="1" defaultMemberUniqueName="[Range 2].[Patient_Id].[All]" allUniqueName="[Range 2].[Patient_Id].[All]" dimensionUniqueName="[Range 2]" displayFolder="" count="0" memberValueDatatype="130" unbalanced="0"/>
    <cacheHierarchy uniqueName="[Range 2].[First_Name]" caption="First_Name" attribute="1" defaultMemberUniqueName="[Range 2].[First_Name].[All]" allUniqueName="[Range 2].[First_Name].[All]" dimensionUniqueName="[Range 2]" displayFolder="" count="0" memberValueDatatype="130" unbalanced="0"/>
    <cacheHierarchy uniqueName="[Range 2].[Last_Name]" caption="Last_Name" attribute="1" defaultMemberUniqueName="[Range 2].[Last_Name].[All]" allUniqueName="[Range 2].[Last_Nam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Date_Of_Birth]" caption="Date_Of_Birth" attribute="1" time="1" defaultMemberUniqueName="[Range 2].[Date_Of_Birth].[All]" allUniqueName="[Range 2].[Date_Of_Birth].[All]" dimensionUniqueName="[Range 2]" displayFolder="" count="0" memberValueDatatype="7" unbalanced="0"/>
    <cacheHierarchy uniqueName="[Range 2].[Contact_Number]" caption="Contact_Number" attribute="1" defaultMemberUniqueName="[Range 2].[Contact_Number].[All]" allUniqueName="[Range 2].[Contact_Number].[All]" dimensionUniqueName="[Range 2]" displayFolder="" count="0" memberValueDatatype="5" unbalanced="0"/>
    <cacheHierarchy uniqueName="[Range 2].[Address]" caption="Address" attribute="1" defaultMemberUniqueName="[Range 2].[Address].[All]" allUniqueName="[Range 2].[Address].[All]" dimensionUniqueName="[Range 2]" displayFolder="" count="0" memberValueDatatype="130" unbalanced="0"/>
    <cacheHierarchy uniqueName="[Range 2].[Registration_Date]" caption="Registration_Date" attribute="1" time="1" defaultMemberUniqueName="[Range 2].[Registration_Date].[All]" allUniqueName="[Range 2].[Registration_Date].[All]" dimensionUniqueName="[Range 2]" displayFolder="" count="0" memberValueDatatype="7" unbalanced="0"/>
    <cacheHierarchy uniqueName="[Range 2].[Insurance_Provider]" caption="Insurance_Provider" attribute="1" defaultMemberUniqueName="[Range 2].[Insurance_Provider].[All]" allUniqueName="[Range 2].[Insurance_Provider].[All]" dimensionUniqueName="[Range 2]" displayFolder="" count="0" memberValueDatatype="130" unbalanced="0"/>
    <cacheHierarchy uniqueName="[Range 2].[Insurance_Number]" caption="Insurance_Number" attribute="1" defaultMemberUniqueName="[Range 2].[Insurance_Number].[All]" allUniqueName="[Range 2].[Insurance_Number].[All]" dimensionUniqueName="[Range 2]" displayFolder="" count="0" memberValueDatatype="130" unbalanced="0"/>
    <cacheHierarchy uniqueName="[Range 2].[Email]" caption="Email" attribute="1" defaultMemberUniqueName="[Range 2].[Email].[All]" allUniqueName="[Range 2].[Email].[All]" dimensionUniqueName="[Range 2]" displayFolder="" count="0" memberValueDatatype="130" unbalanced="0"/>
    <cacheHierarchy uniqueName="[Range 3].[Treatment_Id]" caption="Treatment_Id" attribute="1" defaultMemberUniqueName="[Range 3].[Treatment_Id].[All]" allUniqueName="[Range 3].[Treatment_Id].[All]" dimensionUniqueName="[Range 3]" displayFolder="" count="0" memberValueDatatype="130" unbalanced="0"/>
    <cacheHierarchy uniqueName="[Range 3].[Appointment_Id]" caption="Appointment_Id" attribute="1" defaultMemberUniqueName="[Range 3].[Appointment_Id].[All]" allUniqueName="[Range 3].[Appointment_Id].[All]" dimensionUniqueName="[Range 3]" displayFolder="" count="0" memberValueDatatype="130" unbalanced="0"/>
    <cacheHierarchy uniqueName="[Range 3].[Treatment_Type]" caption="Treatment_Type" attribute="1" defaultMemberUniqueName="[Range 3].[Treatment_Type].[All]" allUniqueName="[Range 3].[Treatment_Type].[All]" dimensionUniqueName="[Range 3]" displayFolder="" count="0" memberValueDatatype="130" unbalanced="0"/>
    <cacheHierarchy uniqueName="[Range 3].[Description]" caption="Description" attribute="1" defaultMemberUniqueName="[Range 3].[Description].[All]" allUniqueName="[Range 3].[Description].[All]" dimensionUniqueName="[Range 3]" displayFolder="" count="0" memberValueDatatype="130" unbalanced="0"/>
    <cacheHierarchy uniqueName="[Range 3].[Cost]" caption="Cost" attribute="1" defaultMemberUniqueName="[Range 3].[Cost].[All]" allUniqueName="[Range 3].[Cost].[All]" dimensionUniqueName="[Range 3]" displayFolder="" count="0" memberValueDatatype="5" unbalanced="0"/>
    <cacheHierarchy uniqueName="[Range 3].[Treatment_Date]" caption="Treatment_Date" attribute="1" time="1" defaultMemberUniqueName="[Range 3].[Treatment_Date].[All]" allUniqueName="[Range 3].[Treatment_Date].[All]" dimensionUniqueName="[Range 3]" displayFolder="" count="0" memberValueDatatype="7" unbalanced="0"/>
    <cacheHierarchy uniqueName="[Range 4].[Doctor_Id]" caption="Doctor_Id" attribute="1" defaultMemberUniqueName="[Range 4].[Doctor_Id].[All]" allUniqueName="[Range 4].[Doctor_Id].[All]" dimensionUniqueName="[Range 4]" displayFolder="" count="0" memberValueDatatype="130" unbalanced="0"/>
    <cacheHierarchy uniqueName="[Range 4].[First_Name]" caption="First_Name" attribute="1" defaultMemberUniqueName="[Range 4].[First_Name].[All]" allUniqueName="[Range 4].[First_Name].[All]" dimensionUniqueName="[Range 4]" displayFolder="" count="0" memberValueDatatype="130" unbalanced="0"/>
    <cacheHierarchy uniqueName="[Range 4].[Last_Name]" caption="Last_Name" attribute="1" defaultMemberUniqueName="[Range 4].[Last_Name].[All]" allUniqueName="[Range 4].[Last_Name].[All]" dimensionUniqueName="[Range 4]" displayFolder="" count="0" memberValueDatatype="130" unbalanced="0"/>
    <cacheHierarchy uniqueName="[Range 4].[Full Name]" caption="Full Name" attribute="1" defaultMemberUniqueName="[Range 4].[Full Name].[All]" allUniqueName="[Range 4].[Full Name].[All]" dimensionUniqueName="[Range 4]" displayFolder="" count="2" memberValueDatatype="130" unbalanced="0"/>
    <cacheHierarchy uniqueName="[Range 4].[Specialization]" caption="Specialization" attribute="1" defaultMemberUniqueName="[Range 4].[Specialization].[All]" allUniqueName="[Range 4].[Specialization].[All]" dimensionUniqueName="[Range 4]" displayFolder="" count="0" memberValueDatatype="130" unbalanced="0"/>
    <cacheHierarchy uniqueName="[Range 4].[Phone_Number]" caption="Phone_Number" attribute="1" defaultMemberUniqueName="[Range 4].[Phone_Number].[All]" allUniqueName="[Range 4].[Phone_Number].[All]" dimensionUniqueName="[Range 4]" displayFolder="" count="0" memberValueDatatype="5" unbalanced="0"/>
    <cacheHierarchy uniqueName="[Range 4].[Years_Experience]" caption="Years_Experience" attribute="1" defaultMemberUniqueName="[Range 4].[Years_Experience].[All]" allUniqueName="[Range 4].[Years_Experience].[All]" dimensionUniqueName="[Range 4]" displayFolder="" count="0" memberValueDatatype="20" unbalanced="0"/>
    <cacheHierarchy uniqueName="[Range 4].[Hospital_Branch]" caption="Hospital_Branch" attribute="1" defaultMemberUniqueName="[Range 4].[Hospital_Branch].[All]" allUniqueName="[Range 4].[Hospital_Branch].[All]" dimensionUniqueName="[Range 4]" displayFolder="" count="0" memberValueDatatype="130" unbalanced="0"/>
    <cacheHierarchy uniqueName="[Range 4].[Email]" caption="Email" attribute="1" defaultMemberUniqueName="[Range 4].[Email].[All]" allUniqueName="[Range 4].[Email].[All]" dimensionUniqueName="[Range 4]"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Count of Appointment_Id]" caption="Count of Appointment_Id" measure="1" displayFolder="" measureGroup="Range" count="0" hidden="1">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1" count="0" hidden="1">
      <extLst>
        <ext xmlns:x15="http://schemas.microsoft.com/office/spreadsheetml/2010/11/main" uri="{B97F6D7D-B522-45F9-BDA1-12C45D357490}">
          <x15:cacheHierarchy aggregatedColumn="16"/>
        </ext>
      </extLst>
    </cacheHierarchy>
    <cacheHierarchy uniqueName="[Measures].[Count of Patient_Id 2]" caption="Count of Patient_Id 2" measure="1" displayFolder="" measureGroup="Range 1" count="0" hidden="1">
      <extLst>
        <ext xmlns:x15="http://schemas.microsoft.com/office/spreadsheetml/2010/11/main" uri="{B97F6D7D-B522-45F9-BDA1-12C45D357490}">
          <x15:cacheHierarchy aggregatedColumn="9"/>
        </ext>
      </extLst>
    </cacheHierarchy>
    <cacheHierarchy uniqueName="[Measures].[Count of Patient_Id 3]" caption="Count of Patient_Id 3" measure="1" displayFolder="" measureGroup="Range 2" count="0" hidden="1">
      <extLst>
        <ext xmlns:x15="http://schemas.microsoft.com/office/spreadsheetml/2010/11/main" uri="{B97F6D7D-B522-45F9-BDA1-12C45D357490}">
          <x15:cacheHierarchy aggregatedColumn="19"/>
        </ext>
      </extLst>
    </cacheHierarchy>
    <cacheHierarchy uniqueName="[Measures].[Count of Treatment_Id]" caption="Count of Treatment_Id" measure="1" displayFolder="" measureGroup="Range 1" count="0" hidden="1">
      <extLst>
        <ext xmlns:x15="http://schemas.microsoft.com/office/spreadsheetml/2010/11/main" uri="{B97F6D7D-B522-45F9-BDA1-12C45D357490}">
          <x15:cacheHierarchy aggregatedColumn="12"/>
        </ext>
      </extLst>
    </cacheHierarchy>
    <cacheHierarchy uniqueName="[Measures].[Count of Appointment_Id 2]" caption="Count of Appointment_Id 2" measure="1" displayFolder="" measureGroup="Range 3" count="0" hidden="1">
      <extLst>
        <ext xmlns:x15="http://schemas.microsoft.com/office/spreadsheetml/2010/11/main" uri="{B97F6D7D-B522-45F9-BDA1-12C45D357490}">
          <x15:cacheHierarchy aggregatedColumn="31"/>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12">
    <map measureGroup="0" dimension="1"/>
    <map measureGroup="0" dimension="3"/>
    <map measureGroup="0" dimension="5"/>
    <map measureGroup="1" dimension="2"/>
    <map measureGroup="1" dimension="3"/>
    <map measureGroup="1" dimension="5"/>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ED AFSAL" refreshedDate="46280.422346527776" backgroundQuery="1" createdVersion="8" refreshedVersion="8" minRefreshableVersion="3" recordCount="0" supportSubquery="1" supportAdvancedDrill="1" xr:uid="{DE50404F-2F43-472D-B778-681D6B61EC33}">
  <cacheSource type="external" connectionId="1"/>
  <cacheFields count="1">
    <cacheField name="[Range 1].[Bill_Date].[Bill_Date]" caption="Bill_Date" numFmtId="0" hierarchy="14" level="1">
      <sharedItems containsSemiMixedTypes="0" containsNonDate="0" containsString="0"/>
    </cacheField>
  </cacheFields>
  <cacheHierarchies count="58">
    <cacheHierarchy uniqueName="[Range].[Appointment_Id]" caption="Appointment_Id" attribute="1" defaultMemberUniqueName="[Range].[Appointment_Id].[All]" allUniqueName="[Range].[Appointment_Id].[All]" dimensionUniqueName="[Range]" displayFolder="" count="0" memberValueDatatype="130" unbalanced="0"/>
    <cacheHierarchy uniqueName="[Range].[Patient_Id]" caption="Patient_Id" attribute="1" defaultMemberUniqueName="[Range].[Patient_Id].[All]" allUniqueName="[Range].[Patient_Id].[All]" dimensionUniqueName="[Range]" displayFolder="" count="0" memberValueDatatype="130" unbalanced="0"/>
    <cacheHierarchy uniqueName="[Range].[Doctor_Id]" caption="Doctor_Id" attribute="1" defaultMemberUniqueName="[Range].[Doctor_Id].[All]" allUniqueName="[Range].[Doctor_Id].[All]" dimensionUniqueName="[Range]" displayFolder="" count="0" memberValueDatatype="130" unbalanced="0"/>
    <cacheHierarchy uniqueName="[Range].[Doctor Name]" caption="Doctor Name" attribute="1" defaultMemberUniqueName="[Range].[Doctor Name].[All]" allUniqueName="[Range].[Doctor Name].[All]" dimensionUniqueName="[Range]" displayFolder="" count="0" memberValueDatatype="130" unbalanced="0"/>
    <cacheHierarchy uniqueName="[Range].[Appointment_Date]" caption="Appointment_Date" attribute="1" time="1" defaultMemberUniqueName="[Range].[Appointment_Date].[All]" allUniqueName="[Range].[Appointment_Date].[All]" dimensionUniqueName="[Range]" displayFolder="" count="0" memberValueDatatype="7" unbalanced="0"/>
    <cacheHierarchy uniqueName="[Range].[Appointment_Time]" caption="Appointment_Time" attribute="1" time="1" defaultMemberUniqueName="[Range].[Appointment_Time].[All]" allUniqueName="[Range].[Appointment_Time].[All]" dimensionUniqueName="[Range]" displayFolder="" count="0" memberValueDatatype="7" unbalanced="0"/>
    <cacheHierarchy uniqueName="[Range].[Reason_For_Visit]" caption="Reason_For_Visit" attribute="1" defaultMemberUniqueName="[Range].[Reason_For_Visit].[All]" allUniqueName="[Range].[Reason_For_Visit].[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 1].[Bill_Id]" caption="Bill_Id" attribute="1" defaultMemberUniqueName="[Range 1].[Bill_Id].[All]" allUniqueName="[Range 1].[Bill_Id].[All]" dimensionUniqueName="[Range 1]" displayFolder="" count="0" memberValueDatatype="130" unbalanced="0"/>
    <cacheHierarchy uniqueName="[Range 1].[Patient_Id]" caption="Patient_Id" attribute="1" defaultMemberUniqueName="[Range 1].[Patient_Id].[All]" allUniqueName="[Range 1].[Patient_Id].[All]" dimensionUniqueName="[Range 1]" displayFolder="" count="0" memberValueDatatype="130" unbalanced="0"/>
    <cacheHierarchy uniqueName="[Range 1].[Doctor id]" caption="Doctor id" attribute="1" defaultMemberUniqueName="[Range 1].[Doctor id].[All]" allUniqueName="[Range 1].[Doctor id].[All]" dimensionUniqueName="[Range 1]" displayFolder="" count="0" memberValueDatatype="130" unbalanced="0"/>
    <cacheHierarchy uniqueName="[Range 1].[Doctor name]" caption="Doctor name" attribute="1" defaultMemberUniqueName="[Range 1].[Doctor name].[All]" allUniqueName="[Range 1].[Doctor name].[All]" dimensionUniqueName="[Range 1]" displayFolder="" count="0" memberValueDatatype="130" unbalanced="0"/>
    <cacheHierarchy uniqueName="[Range 1].[Treatment_Id]" caption="Treatment_Id" attribute="1" defaultMemberUniqueName="[Range 1].[Treatment_Id].[All]" allUniqueName="[Range 1].[Treatment_Id].[All]" dimensionUniqueName="[Range 1]" displayFolder="" count="0" memberValueDatatype="130" unbalanced="0"/>
    <cacheHierarchy uniqueName="[Range 1].[Treatment_Type]" caption="Treatment_Type" attribute="1" defaultMemberUniqueName="[Range 1].[Treatment_Type].[All]" allUniqueName="[Range 1].[Treatment_Type].[All]" dimensionUniqueName="[Range 1]" displayFolder="" count="2" memberValueDatatype="130" unbalanced="0"/>
    <cacheHierarchy uniqueName="[Range 1].[Bill_Date]" caption="Bill_Date" attribute="1" time="1" defaultMemberUniqueName="[Range 1].[Bill_Date].[All]" allUniqueName="[Range 1].[Bill_Date].[All]" dimensionUniqueName="[Range 1]" displayFolder="" count="2" memberValueDatatype="7" unbalanced="0">
      <fieldsUsage count="2">
        <fieldUsage x="-1"/>
        <fieldUsage x="0"/>
      </fieldsUsage>
    </cacheHierarchy>
    <cacheHierarchy uniqueName="[Range 1].[Month]" caption="Month" attribute="1" defaultMemberUniqueName="[Range 1].[Month].[All]" allUniqueName="[Range 1].[Month].[All]" dimensionUniqueName="[Range 1]" displayFolder="" count="2" memberValueDatatype="130" unbalanced="0"/>
    <cacheHierarchy uniqueName="[Range 1].[Amount]" caption="Amount" attribute="1" defaultMemberUniqueName="[Range 1].[Amount].[All]" allUniqueName="[Range 1].[Am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Payment_Status]" caption="Payment_Status" attribute="1" defaultMemberUniqueName="[Range 1].[Payment_Status].[All]" allUniqueName="[Range 1].[Payment_Status].[All]" dimensionUniqueName="[Range 1]" displayFolder="" count="0" memberValueDatatype="130" unbalanced="0"/>
    <cacheHierarchy uniqueName="[Range 2].[Patient_Id]" caption="Patient_Id" attribute="1" defaultMemberUniqueName="[Range 2].[Patient_Id].[All]" allUniqueName="[Range 2].[Patient_Id].[All]" dimensionUniqueName="[Range 2]" displayFolder="" count="0" memberValueDatatype="130" unbalanced="0"/>
    <cacheHierarchy uniqueName="[Range 2].[First_Name]" caption="First_Name" attribute="1" defaultMemberUniqueName="[Range 2].[First_Name].[All]" allUniqueName="[Range 2].[First_Name].[All]" dimensionUniqueName="[Range 2]" displayFolder="" count="0" memberValueDatatype="130" unbalanced="0"/>
    <cacheHierarchy uniqueName="[Range 2].[Last_Name]" caption="Last_Name" attribute="1" defaultMemberUniqueName="[Range 2].[Last_Name].[All]" allUniqueName="[Range 2].[Last_Nam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Date_Of_Birth]" caption="Date_Of_Birth" attribute="1" time="1" defaultMemberUniqueName="[Range 2].[Date_Of_Birth].[All]" allUniqueName="[Range 2].[Date_Of_Birth].[All]" dimensionUniqueName="[Range 2]" displayFolder="" count="0" memberValueDatatype="7" unbalanced="0"/>
    <cacheHierarchy uniqueName="[Range 2].[Contact_Number]" caption="Contact_Number" attribute="1" defaultMemberUniqueName="[Range 2].[Contact_Number].[All]" allUniqueName="[Range 2].[Contact_Number].[All]" dimensionUniqueName="[Range 2]" displayFolder="" count="0" memberValueDatatype="5" unbalanced="0"/>
    <cacheHierarchy uniqueName="[Range 2].[Address]" caption="Address" attribute="1" defaultMemberUniqueName="[Range 2].[Address].[All]" allUniqueName="[Range 2].[Address].[All]" dimensionUniqueName="[Range 2]" displayFolder="" count="0" memberValueDatatype="130" unbalanced="0"/>
    <cacheHierarchy uniqueName="[Range 2].[Registration_Date]" caption="Registration_Date" attribute="1" time="1" defaultMemberUniqueName="[Range 2].[Registration_Date].[All]" allUniqueName="[Range 2].[Registration_Date].[All]" dimensionUniqueName="[Range 2]" displayFolder="" count="0" memberValueDatatype="7" unbalanced="0"/>
    <cacheHierarchy uniqueName="[Range 2].[Insurance_Provider]" caption="Insurance_Provider" attribute="1" defaultMemberUniqueName="[Range 2].[Insurance_Provider].[All]" allUniqueName="[Range 2].[Insurance_Provider].[All]" dimensionUniqueName="[Range 2]" displayFolder="" count="0" memberValueDatatype="130" unbalanced="0"/>
    <cacheHierarchy uniqueName="[Range 2].[Insurance_Number]" caption="Insurance_Number" attribute="1" defaultMemberUniqueName="[Range 2].[Insurance_Number].[All]" allUniqueName="[Range 2].[Insurance_Number].[All]" dimensionUniqueName="[Range 2]" displayFolder="" count="0" memberValueDatatype="130" unbalanced="0"/>
    <cacheHierarchy uniqueName="[Range 2].[Email]" caption="Email" attribute="1" defaultMemberUniqueName="[Range 2].[Email].[All]" allUniqueName="[Range 2].[Email].[All]" dimensionUniqueName="[Range 2]" displayFolder="" count="0" memberValueDatatype="130" unbalanced="0"/>
    <cacheHierarchy uniqueName="[Range 3].[Treatment_Id]" caption="Treatment_Id" attribute="1" defaultMemberUniqueName="[Range 3].[Treatment_Id].[All]" allUniqueName="[Range 3].[Treatment_Id].[All]" dimensionUniqueName="[Range 3]" displayFolder="" count="0" memberValueDatatype="130" unbalanced="0"/>
    <cacheHierarchy uniqueName="[Range 3].[Appointment_Id]" caption="Appointment_Id" attribute="1" defaultMemberUniqueName="[Range 3].[Appointment_Id].[All]" allUniqueName="[Range 3].[Appointment_Id].[All]" dimensionUniqueName="[Range 3]" displayFolder="" count="0" memberValueDatatype="130" unbalanced="0"/>
    <cacheHierarchy uniqueName="[Range 3].[Treatment_Type]" caption="Treatment_Type" attribute="1" defaultMemberUniqueName="[Range 3].[Treatment_Type].[All]" allUniqueName="[Range 3].[Treatment_Type].[All]" dimensionUniqueName="[Range 3]" displayFolder="" count="0" memberValueDatatype="130" unbalanced="0"/>
    <cacheHierarchy uniqueName="[Range 3].[Description]" caption="Description" attribute="1" defaultMemberUniqueName="[Range 3].[Description].[All]" allUniqueName="[Range 3].[Description].[All]" dimensionUniqueName="[Range 3]" displayFolder="" count="0" memberValueDatatype="130" unbalanced="0"/>
    <cacheHierarchy uniqueName="[Range 3].[Cost]" caption="Cost" attribute="1" defaultMemberUniqueName="[Range 3].[Cost].[All]" allUniqueName="[Range 3].[Cost].[All]" dimensionUniqueName="[Range 3]" displayFolder="" count="0" memberValueDatatype="5" unbalanced="0"/>
    <cacheHierarchy uniqueName="[Range 3].[Treatment_Date]" caption="Treatment_Date" attribute="1" time="1" defaultMemberUniqueName="[Range 3].[Treatment_Date].[All]" allUniqueName="[Range 3].[Treatment_Date].[All]" dimensionUniqueName="[Range 3]" displayFolder="" count="0" memberValueDatatype="7" unbalanced="0"/>
    <cacheHierarchy uniqueName="[Range 4].[Doctor_Id]" caption="Doctor_Id" attribute="1" defaultMemberUniqueName="[Range 4].[Doctor_Id].[All]" allUniqueName="[Range 4].[Doctor_Id].[All]" dimensionUniqueName="[Range 4]" displayFolder="" count="0" memberValueDatatype="130" unbalanced="0"/>
    <cacheHierarchy uniqueName="[Range 4].[First_Name]" caption="First_Name" attribute="1" defaultMemberUniqueName="[Range 4].[First_Name].[All]" allUniqueName="[Range 4].[First_Name].[All]" dimensionUniqueName="[Range 4]" displayFolder="" count="0" memberValueDatatype="130" unbalanced="0"/>
    <cacheHierarchy uniqueName="[Range 4].[Last_Name]" caption="Last_Name" attribute="1" defaultMemberUniqueName="[Range 4].[Last_Name].[All]" allUniqueName="[Range 4].[Last_Name].[All]" dimensionUniqueName="[Range 4]" displayFolder="" count="0" memberValueDatatype="130" unbalanced="0"/>
    <cacheHierarchy uniqueName="[Range 4].[Full Name]" caption="Full Name" attribute="1" defaultMemberUniqueName="[Range 4].[Full Name].[All]" allUniqueName="[Range 4].[Full Name].[All]" dimensionUniqueName="[Range 4]" displayFolder="" count="2" memberValueDatatype="130" unbalanced="0"/>
    <cacheHierarchy uniqueName="[Range 4].[Specialization]" caption="Specialization" attribute="1" defaultMemberUniqueName="[Range 4].[Specialization].[All]" allUniqueName="[Range 4].[Specialization].[All]" dimensionUniqueName="[Range 4]" displayFolder="" count="0" memberValueDatatype="130" unbalanced="0"/>
    <cacheHierarchy uniqueName="[Range 4].[Phone_Number]" caption="Phone_Number" attribute="1" defaultMemberUniqueName="[Range 4].[Phone_Number].[All]" allUniqueName="[Range 4].[Phone_Number].[All]" dimensionUniqueName="[Range 4]" displayFolder="" count="0" memberValueDatatype="5" unbalanced="0"/>
    <cacheHierarchy uniqueName="[Range 4].[Years_Experience]" caption="Years_Experience" attribute="1" defaultMemberUniqueName="[Range 4].[Years_Experience].[All]" allUniqueName="[Range 4].[Years_Experience].[All]" dimensionUniqueName="[Range 4]" displayFolder="" count="0" memberValueDatatype="20" unbalanced="0"/>
    <cacheHierarchy uniqueName="[Range 4].[Hospital_Branch]" caption="Hospital_Branch" attribute="1" defaultMemberUniqueName="[Range 4].[Hospital_Branch].[All]" allUniqueName="[Range 4].[Hospital_Branch].[All]" dimensionUniqueName="[Range 4]" displayFolder="" count="0" memberValueDatatype="130" unbalanced="0"/>
    <cacheHierarchy uniqueName="[Range 4].[Email]" caption="Email" attribute="1" defaultMemberUniqueName="[Range 4].[Email].[All]" allUniqueName="[Range 4].[Email].[All]" dimensionUniqueName="[Range 4]"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Count of Appointment_Id]" caption="Count of Appointment_Id" measure="1" displayFolder="" measureGroup="Range" count="0" hidden="1">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1" count="0" hidden="1">
      <extLst>
        <ext xmlns:x15="http://schemas.microsoft.com/office/spreadsheetml/2010/11/main" uri="{B97F6D7D-B522-45F9-BDA1-12C45D357490}">
          <x15:cacheHierarchy aggregatedColumn="16"/>
        </ext>
      </extLst>
    </cacheHierarchy>
    <cacheHierarchy uniqueName="[Measures].[Count of Patient_Id 2]" caption="Count of Patient_Id 2" measure="1" displayFolder="" measureGroup="Range 1" count="0" hidden="1">
      <extLst>
        <ext xmlns:x15="http://schemas.microsoft.com/office/spreadsheetml/2010/11/main" uri="{B97F6D7D-B522-45F9-BDA1-12C45D357490}">
          <x15:cacheHierarchy aggregatedColumn="9"/>
        </ext>
      </extLst>
    </cacheHierarchy>
    <cacheHierarchy uniqueName="[Measures].[Count of Patient_Id 3]" caption="Count of Patient_Id 3" measure="1" displayFolder="" measureGroup="Range 2" count="0" hidden="1">
      <extLst>
        <ext xmlns:x15="http://schemas.microsoft.com/office/spreadsheetml/2010/11/main" uri="{B97F6D7D-B522-45F9-BDA1-12C45D357490}">
          <x15:cacheHierarchy aggregatedColumn="19"/>
        </ext>
      </extLst>
    </cacheHierarchy>
    <cacheHierarchy uniqueName="[Measures].[Count of Treatment_Id]" caption="Count of Treatment_Id" measure="1" displayFolder="" measureGroup="Range 1" count="0" hidden="1">
      <extLst>
        <ext xmlns:x15="http://schemas.microsoft.com/office/spreadsheetml/2010/11/main" uri="{B97F6D7D-B522-45F9-BDA1-12C45D357490}">
          <x15:cacheHierarchy aggregatedColumn="12"/>
        </ext>
      </extLst>
    </cacheHierarchy>
    <cacheHierarchy uniqueName="[Measures].[Count of Appointment_Id 2]" caption="Count of Appointment_Id 2" measure="1" displayFolder="" measureGroup="Range 3" count="0" hidden="1">
      <extLst>
        <ext xmlns:x15="http://schemas.microsoft.com/office/spreadsheetml/2010/11/main" uri="{B97F6D7D-B522-45F9-BDA1-12C45D357490}">
          <x15:cacheHierarchy aggregatedColumn="31"/>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12">
    <map measureGroup="0" dimension="1"/>
    <map measureGroup="0" dimension="3"/>
    <map measureGroup="0" dimension="5"/>
    <map measureGroup="1" dimension="2"/>
    <map measureGroup="1" dimension="3"/>
    <map measureGroup="1" dimension="5"/>
    <map measureGroup="2" dimension="3"/>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ED AFSAL" refreshedDate="46279.903358449075" backgroundQuery="1" createdVersion="3" refreshedVersion="8" minRefreshableVersion="3" recordCount="0" supportSubquery="1" supportAdvancedDrill="1" xr:uid="{9B3A29CD-C2D1-436E-A069-14D2A87E1DF8}">
  <cacheSource type="external" connectionId="1">
    <extLst>
      <ext xmlns:x14="http://schemas.microsoft.com/office/spreadsheetml/2009/9/main" uri="{F057638F-6D5F-4e77-A914-E7F072B9BCA8}">
        <x14:sourceConnection name="ThisWorkbookDataModel"/>
      </ext>
    </extLst>
  </cacheSource>
  <cacheFields count="0"/>
  <cacheHierarchies count="58">
    <cacheHierarchy uniqueName="[Range].[Appointment_Id]" caption="Appointment_Id" attribute="1" defaultMemberUniqueName="[Range].[Appointment_Id].[All]" allUniqueName="[Range].[Appointment_Id].[All]" dimensionUniqueName="[Range]" displayFolder="" count="0" memberValueDatatype="130" unbalanced="0"/>
    <cacheHierarchy uniqueName="[Range].[Patient_Id]" caption="Patient_Id" attribute="1" defaultMemberUniqueName="[Range].[Patient_Id].[All]" allUniqueName="[Range].[Patient_Id].[All]" dimensionUniqueName="[Range]" displayFolder="" count="0" memberValueDatatype="130" unbalanced="0"/>
    <cacheHierarchy uniqueName="[Range].[Doctor_Id]" caption="Doctor_Id" attribute="1" defaultMemberUniqueName="[Range].[Doctor_Id].[All]" allUniqueName="[Range].[Doctor_Id].[All]" dimensionUniqueName="[Range]" displayFolder="" count="0" memberValueDatatype="130" unbalanced="0"/>
    <cacheHierarchy uniqueName="[Range].[Doctor Name]" caption="Doctor Name" attribute="1" defaultMemberUniqueName="[Range].[Doctor Name].[All]" allUniqueName="[Range].[Doctor Name].[All]" dimensionUniqueName="[Range]" displayFolder="" count="0" memberValueDatatype="130" unbalanced="0"/>
    <cacheHierarchy uniqueName="[Range].[Appointment_Date]" caption="Appointment_Date" attribute="1" time="1" defaultMemberUniqueName="[Range].[Appointment_Date].[All]" allUniqueName="[Range].[Appointment_Date].[All]" dimensionUniqueName="[Range]" displayFolder="" count="0" memberValueDatatype="7" unbalanced="0"/>
    <cacheHierarchy uniqueName="[Range].[Appointment_Time]" caption="Appointment_Time" attribute="1" time="1" defaultMemberUniqueName="[Range].[Appointment_Time].[All]" allUniqueName="[Range].[Appointment_Time].[All]" dimensionUniqueName="[Range]" displayFolder="" count="0" memberValueDatatype="7" unbalanced="0"/>
    <cacheHierarchy uniqueName="[Range].[Reason_For_Visit]" caption="Reason_For_Visit" attribute="1" defaultMemberUniqueName="[Range].[Reason_For_Visit].[All]" allUniqueName="[Range].[Reason_For_Visit].[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 1].[Bill_Id]" caption="Bill_Id" attribute="1" defaultMemberUniqueName="[Range 1].[Bill_Id].[All]" allUniqueName="[Range 1].[Bill_Id].[All]" dimensionUniqueName="[Range 1]" displayFolder="" count="0" memberValueDatatype="130" unbalanced="0"/>
    <cacheHierarchy uniqueName="[Range 1].[Patient_Id]" caption="Patient_Id" attribute="1" defaultMemberUniqueName="[Range 1].[Patient_Id].[All]" allUniqueName="[Range 1].[Patient_Id].[All]" dimensionUniqueName="[Range 1]" displayFolder="" count="0" memberValueDatatype="130" unbalanced="0"/>
    <cacheHierarchy uniqueName="[Range 1].[Doctor id]" caption="Doctor id" attribute="1" defaultMemberUniqueName="[Range 1].[Doctor id].[All]" allUniqueName="[Range 1].[Doctor id].[All]" dimensionUniqueName="[Range 1]" displayFolder="" count="0" memberValueDatatype="130" unbalanced="0"/>
    <cacheHierarchy uniqueName="[Range 1].[Doctor name]" caption="Doctor name" attribute="1" defaultMemberUniqueName="[Range 1].[Doctor name].[All]" allUniqueName="[Range 1].[Doctor name].[All]" dimensionUniqueName="[Range 1]" displayFolder="" count="0" memberValueDatatype="130" unbalanced="0"/>
    <cacheHierarchy uniqueName="[Range 1].[Treatment_Id]" caption="Treatment_Id" attribute="1" defaultMemberUniqueName="[Range 1].[Treatment_Id].[All]" allUniqueName="[Range 1].[Treatment_Id].[All]" dimensionUniqueName="[Range 1]" displayFolder="" count="0" memberValueDatatype="130" unbalanced="0"/>
    <cacheHierarchy uniqueName="[Range 1].[Treatment_Type]" caption="Treatment_Type" attribute="1" defaultMemberUniqueName="[Range 1].[Treatment_Type].[All]" allUniqueName="[Range 1].[Treatment_Type].[All]" dimensionUniqueName="[Range 1]" displayFolder="" count="2" memberValueDatatype="130" unbalanced="0"/>
    <cacheHierarchy uniqueName="[Range 1].[Bill_Date]" caption="Bill_Date" attribute="1" time="1" defaultMemberUniqueName="[Range 1].[Bill_Date].[All]" allUniqueName="[Range 1].[Bill_Date].[All]" dimensionUniqueName="[Range 1]" displayFolder="" count="0" memberValueDatatype="7" unbalanced="0"/>
    <cacheHierarchy uniqueName="[Range 1].[Month]" caption="Month" attribute="1" defaultMemberUniqueName="[Range 1].[Month].[All]" allUniqueName="[Range 1].[Month].[All]" dimensionUniqueName="[Range 1]" displayFolder="" count="2" memberValueDatatype="130" unbalanced="0"/>
    <cacheHierarchy uniqueName="[Range 1].[Amount]" caption="Amount" attribute="1" defaultMemberUniqueName="[Range 1].[Amount].[All]" allUniqueName="[Range 1].[Am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Payment_Status]" caption="Payment_Status" attribute="1" defaultMemberUniqueName="[Range 1].[Payment_Status].[All]" allUniqueName="[Range 1].[Payment_Status].[All]" dimensionUniqueName="[Range 1]" displayFolder="" count="0" memberValueDatatype="130" unbalanced="0"/>
    <cacheHierarchy uniqueName="[Range 2].[Patient_Id]" caption="Patient_Id" attribute="1" defaultMemberUniqueName="[Range 2].[Patient_Id].[All]" allUniqueName="[Range 2].[Patient_Id].[All]" dimensionUniqueName="[Range 2]" displayFolder="" count="0" memberValueDatatype="130" unbalanced="0"/>
    <cacheHierarchy uniqueName="[Range 2].[First_Name]" caption="First_Name" attribute="1" defaultMemberUniqueName="[Range 2].[First_Name].[All]" allUniqueName="[Range 2].[First_Name].[All]" dimensionUniqueName="[Range 2]" displayFolder="" count="0" memberValueDatatype="130" unbalanced="0"/>
    <cacheHierarchy uniqueName="[Range 2].[Last_Name]" caption="Last_Name" attribute="1" defaultMemberUniqueName="[Range 2].[Last_Name].[All]" allUniqueName="[Range 2].[Last_Nam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Date_Of_Birth]" caption="Date_Of_Birth" attribute="1" time="1" defaultMemberUniqueName="[Range 2].[Date_Of_Birth].[All]" allUniqueName="[Range 2].[Date_Of_Birth].[All]" dimensionUniqueName="[Range 2]" displayFolder="" count="0" memberValueDatatype="7" unbalanced="0"/>
    <cacheHierarchy uniqueName="[Range 2].[Contact_Number]" caption="Contact_Number" attribute="1" defaultMemberUniqueName="[Range 2].[Contact_Number].[All]" allUniqueName="[Range 2].[Contact_Number].[All]" dimensionUniqueName="[Range 2]" displayFolder="" count="0" memberValueDatatype="5" unbalanced="0"/>
    <cacheHierarchy uniqueName="[Range 2].[Address]" caption="Address" attribute="1" defaultMemberUniqueName="[Range 2].[Address].[All]" allUniqueName="[Range 2].[Address].[All]" dimensionUniqueName="[Range 2]" displayFolder="" count="0" memberValueDatatype="130" unbalanced="0"/>
    <cacheHierarchy uniqueName="[Range 2].[Registration_Date]" caption="Registration_Date" attribute="1" time="1" defaultMemberUniqueName="[Range 2].[Registration_Date].[All]" allUniqueName="[Range 2].[Registration_Date].[All]" dimensionUniqueName="[Range 2]" displayFolder="" count="0" memberValueDatatype="7" unbalanced="0"/>
    <cacheHierarchy uniqueName="[Range 2].[Insurance_Provider]" caption="Insurance_Provider" attribute="1" defaultMemberUniqueName="[Range 2].[Insurance_Provider].[All]" allUniqueName="[Range 2].[Insurance_Provider].[All]" dimensionUniqueName="[Range 2]" displayFolder="" count="0" memberValueDatatype="130" unbalanced="0"/>
    <cacheHierarchy uniqueName="[Range 2].[Insurance_Number]" caption="Insurance_Number" attribute="1" defaultMemberUniqueName="[Range 2].[Insurance_Number].[All]" allUniqueName="[Range 2].[Insurance_Number].[All]" dimensionUniqueName="[Range 2]" displayFolder="" count="0" memberValueDatatype="130" unbalanced="0"/>
    <cacheHierarchy uniqueName="[Range 2].[Email]" caption="Email" attribute="1" defaultMemberUniqueName="[Range 2].[Email].[All]" allUniqueName="[Range 2].[Email].[All]" dimensionUniqueName="[Range 2]" displayFolder="" count="0" memberValueDatatype="130" unbalanced="0"/>
    <cacheHierarchy uniqueName="[Range 3].[Treatment_Id]" caption="Treatment_Id" attribute="1" defaultMemberUniqueName="[Range 3].[Treatment_Id].[All]" allUniqueName="[Range 3].[Treatment_Id].[All]" dimensionUniqueName="[Range 3]" displayFolder="" count="0" memberValueDatatype="130" unbalanced="0"/>
    <cacheHierarchy uniqueName="[Range 3].[Appointment_Id]" caption="Appointment_Id" attribute="1" defaultMemberUniqueName="[Range 3].[Appointment_Id].[All]" allUniqueName="[Range 3].[Appointment_Id].[All]" dimensionUniqueName="[Range 3]" displayFolder="" count="0" memberValueDatatype="130" unbalanced="0"/>
    <cacheHierarchy uniqueName="[Range 3].[Treatment_Type]" caption="Treatment_Type" attribute="1" defaultMemberUniqueName="[Range 3].[Treatment_Type].[All]" allUniqueName="[Range 3].[Treatment_Type].[All]" dimensionUniqueName="[Range 3]" displayFolder="" count="0" memberValueDatatype="130" unbalanced="0"/>
    <cacheHierarchy uniqueName="[Range 3].[Description]" caption="Description" attribute="1" defaultMemberUniqueName="[Range 3].[Description].[All]" allUniqueName="[Range 3].[Description].[All]" dimensionUniqueName="[Range 3]" displayFolder="" count="0" memberValueDatatype="130" unbalanced="0"/>
    <cacheHierarchy uniqueName="[Range 3].[Cost]" caption="Cost" attribute="1" defaultMemberUniqueName="[Range 3].[Cost].[All]" allUniqueName="[Range 3].[Cost].[All]" dimensionUniqueName="[Range 3]" displayFolder="" count="0" memberValueDatatype="5" unbalanced="0"/>
    <cacheHierarchy uniqueName="[Range 3].[Treatment_Date]" caption="Treatment_Date" attribute="1" time="1" defaultMemberUniqueName="[Range 3].[Treatment_Date].[All]" allUniqueName="[Range 3].[Treatment_Date].[All]" dimensionUniqueName="[Range 3]" displayFolder="" count="0" memberValueDatatype="7" unbalanced="0"/>
    <cacheHierarchy uniqueName="[Range 4].[Doctor_Id]" caption="Doctor_Id" attribute="1" defaultMemberUniqueName="[Range 4].[Doctor_Id].[All]" allUniqueName="[Range 4].[Doctor_Id].[All]" dimensionUniqueName="[Range 4]" displayFolder="" count="0" memberValueDatatype="130" unbalanced="0"/>
    <cacheHierarchy uniqueName="[Range 4].[First_Name]" caption="First_Name" attribute="1" defaultMemberUniqueName="[Range 4].[First_Name].[All]" allUniqueName="[Range 4].[First_Name].[All]" dimensionUniqueName="[Range 4]" displayFolder="" count="0" memberValueDatatype="130" unbalanced="0"/>
    <cacheHierarchy uniqueName="[Range 4].[Last_Name]" caption="Last_Name" attribute="1" defaultMemberUniqueName="[Range 4].[Last_Name].[All]" allUniqueName="[Range 4].[Last_Name].[All]" dimensionUniqueName="[Range 4]" displayFolder="" count="0" memberValueDatatype="130" unbalanced="0"/>
    <cacheHierarchy uniqueName="[Range 4].[Full Name]" caption="Full Name" attribute="1" defaultMemberUniqueName="[Range 4].[Full Name].[All]" allUniqueName="[Range 4].[Full Name].[All]" dimensionUniqueName="[Range 4]" displayFolder="" count="2" memberValueDatatype="130" unbalanced="0"/>
    <cacheHierarchy uniqueName="[Range 4].[Specialization]" caption="Specialization" attribute="1" defaultMemberUniqueName="[Range 4].[Specialization].[All]" allUniqueName="[Range 4].[Specialization].[All]" dimensionUniqueName="[Range 4]" displayFolder="" count="0" memberValueDatatype="130" unbalanced="0"/>
    <cacheHierarchy uniqueName="[Range 4].[Phone_Number]" caption="Phone_Number" attribute="1" defaultMemberUniqueName="[Range 4].[Phone_Number].[All]" allUniqueName="[Range 4].[Phone_Number].[All]" dimensionUniqueName="[Range 4]" displayFolder="" count="0" memberValueDatatype="5" unbalanced="0"/>
    <cacheHierarchy uniqueName="[Range 4].[Years_Experience]" caption="Years_Experience" attribute="1" defaultMemberUniqueName="[Range 4].[Years_Experience].[All]" allUniqueName="[Range 4].[Years_Experience].[All]" dimensionUniqueName="[Range 4]" displayFolder="" count="0" memberValueDatatype="20" unbalanced="0"/>
    <cacheHierarchy uniqueName="[Range 4].[Hospital_Branch]" caption="Hospital_Branch" attribute="1" defaultMemberUniqueName="[Range 4].[Hospital_Branch].[All]" allUniqueName="[Range 4].[Hospital_Branch].[All]" dimensionUniqueName="[Range 4]" displayFolder="" count="0" memberValueDatatype="130" unbalanced="0"/>
    <cacheHierarchy uniqueName="[Range 4].[Email]" caption="Email" attribute="1" defaultMemberUniqueName="[Range 4].[Email].[All]" allUniqueName="[Range 4].[Email].[All]" dimensionUniqueName="[Range 4]"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Count of Appointment_Id]" caption="Count of Appointment_Id" measure="1" displayFolder="" measureGroup="Range" count="0" hidden="1">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1" count="0" hidden="1">
      <extLst>
        <ext xmlns:x15="http://schemas.microsoft.com/office/spreadsheetml/2010/11/main" uri="{B97F6D7D-B522-45F9-BDA1-12C45D357490}">
          <x15:cacheHierarchy aggregatedColumn="16"/>
        </ext>
      </extLst>
    </cacheHierarchy>
    <cacheHierarchy uniqueName="[Measures].[Count of Patient_Id 2]" caption="Count of Patient_Id 2" measure="1" displayFolder="" measureGroup="Range 1" count="0" hidden="1">
      <extLst>
        <ext xmlns:x15="http://schemas.microsoft.com/office/spreadsheetml/2010/11/main" uri="{B97F6D7D-B522-45F9-BDA1-12C45D357490}">
          <x15:cacheHierarchy aggregatedColumn="9"/>
        </ext>
      </extLst>
    </cacheHierarchy>
    <cacheHierarchy uniqueName="[Measures].[Count of Patient_Id 3]" caption="Count of Patient_Id 3" measure="1" displayFolder="" measureGroup="Range 2" count="0" hidden="1">
      <extLst>
        <ext xmlns:x15="http://schemas.microsoft.com/office/spreadsheetml/2010/11/main" uri="{B97F6D7D-B522-45F9-BDA1-12C45D357490}">
          <x15:cacheHierarchy aggregatedColumn="19"/>
        </ext>
      </extLst>
    </cacheHierarchy>
    <cacheHierarchy uniqueName="[Measures].[Count of Treatment_Id]" caption="Count of Treatment_Id" measure="1" displayFolder="" measureGroup="Range 1" count="0" hidden="1">
      <extLst>
        <ext xmlns:x15="http://schemas.microsoft.com/office/spreadsheetml/2010/11/main" uri="{B97F6D7D-B522-45F9-BDA1-12C45D357490}">
          <x15:cacheHierarchy aggregatedColumn="12"/>
        </ext>
      </extLst>
    </cacheHierarchy>
    <cacheHierarchy uniqueName="[Measures].[Count of Appointment_Id 2]" caption="Count of Appointment_Id 2" measure="1" displayFolder="" measureGroup="Range 3"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106326063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ED AFSAL" refreshedDate="46280.398947453701" createdVersion="3" refreshedVersion="8" minRefreshableVersion="3" recordCount="0" supportSubquery="1" supportAdvancedDrill="1" xr:uid="{74D75C91-B6A4-443A-8BC0-1964BFF38A7E}">
  <cacheSource type="external" connectionId="1">
    <extLst>
      <ext xmlns:x14="http://schemas.microsoft.com/office/spreadsheetml/2009/9/main" uri="{F057638F-6D5F-4e77-A914-E7F072B9BCA8}">
        <x14:sourceConnection name="ThisWorkbookDataModel"/>
      </ext>
    </extLst>
  </cacheSource>
  <cacheFields count="0"/>
  <cacheHierarchies count="58">
    <cacheHierarchy uniqueName="[Range].[Appointment_Id]" caption="Appointment_Id" attribute="1" defaultMemberUniqueName="[Range].[Appointment_Id].[All]" allUniqueName="[Range].[Appointment_Id].[All]" dimensionUniqueName="[Range]" displayFolder="" count="0" memberValueDatatype="130" unbalanced="0"/>
    <cacheHierarchy uniqueName="[Range].[Patient_Id]" caption="Patient_Id" attribute="1" defaultMemberUniqueName="[Range].[Patient_Id].[All]" allUniqueName="[Range].[Patient_Id].[All]" dimensionUniqueName="[Range]" displayFolder="" count="0" memberValueDatatype="130" unbalanced="0"/>
    <cacheHierarchy uniqueName="[Range].[Doctor_Id]" caption="Doctor_Id" attribute="1" defaultMemberUniqueName="[Range].[Doctor_Id].[All]" allUniqueName="[Range].[Doctor_Id].[All]" dimensionUniqueName="[Range]" displayFolder="" count="0" memberValueDatatype="130" unbalanced="0"/>
    <cacheHierarchy uniqueName="[Range].[Doctor Name]" caption="Doctor Name" attribute="1" defaultMemberUniqueName="[Range].[Doctor Name].[All]" allUniqueName="[Range].[Doctor Name].[All]" dimensionUniqueName="[Range]" displayFolder="" count="0" memberValueDatatype="130" unbalanced="0"/>
    <cacheHierarchy uniqueName="[Range].[Appointment_Date]" caption="Appointment_Date" attribute="1" time="1" defaultMemberUniqueName="[Range].[Appointment_Date].[All]" allUniqueName="[Range].[Appointment_Date].[All]" dimensionUniqueName="[Range]" displayFolder="" count="0" memberValueDatatype="7" unbalanced="0"/>
    <cacheHierarchy uniqueName="[Range].[Appointment_Time]" caption="Appointment_Time" attribute="1" time="1" defaultMemberUniqueName="[Range].[Appointment_Time].[All]" allUniqueName="[Range].[Appointment_Time].[All]" dimensionUniqueName="[Range]" displayFolder="" count="0" memberValueDatatype="7" unbalanced="0"/>
    <cacheHierarchy uniqueName="[Range].[Reason_For_Visit]" caption="Reason_For_Visit" attribute="1" defaultMemberUniqueName="[Range].[Reason_For_Visit].[All]" allUniqueName="[Range].[Reason_For_Visit].[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 1].[Bill_Id]" caption="Bill_Id" attribute="1" defaultMemberUniqueName="[Range 1].[Bill_Id].[All]" allUniqueName="[Range 1].[Bill_Id].[All]" dimensionUniqueName="[Range 1]" displayFolder="" count="0" memberValueDatatype="130" unbalanced="0"/>
    <cacheHierarchy uniqueName="[Range 1].[Patient_Id]" caption="Patient_Id" attribute="1" defaultMemberUniqueName="[Range 1].[Patient_Id].[All]" allUniqueName="[Range 1].[Patient_Id].[All]" dimensionUniqueName="[Range 1]" displayFolder="" count="0" memberValueDatatype="130" unbalanced="0"/>
    <cacheHierarchy uniqueName="[Range 1].[Doctor id]" caption="Doctor id" attribute="1" defaultMemberUniqueName="[Range 1].[Doctor id].[All]" allUniqueName="[Range 1].[Doctor id].[All]" dimensionUniqueName="[Range 1]" displayFolder="" count="0" memberValueDatatype="130" unbalanced="0"/>
    <cacheHierarchy uniqueName="[Range 1].[Doctor name]" caption="Doctor name" attribute="1" defaultMemberUniqueName="[Range 1].[Doctor name].[All]" allUniqueName="[Range 1].[Doctor name].[All]" dimensionUniqueName="[Range 1]" displayFolder="" count="0" memberValueDatatype="130" unbalanced="0"/>
    <cacheHierarchy uniqueName="[Range 1].[Treatment_Id]" caption="Treatment_Id" attribute="1" defaultMemberUniqueName="[Range 1].[Treatment_Id].[All]" allUniqueName="[Range 1].[Treatment_Id].[All]" dimensionUniqueName="[Range 1]" displayFolder="" count="0" memberValueDatatype="130" unbalanced="0"/>
    <cacheHierarchy uniqueName="[Range 1].[Treatment_Type]" caption="Treatment_Type" attribute="1" defaultMemberUniqueName="[Range 1].[Treatment_Type].[All]" allUniqueName="[Range 1].[Treatment_Type].[All]" dimensionUniqueName="[Range 1]" displayFolder="" count="0" memberValueDatatype="130" unbalanced="0"/>
    <cacheHierarchy uniqueName="[Range 1].[Bill_Date]" caption="Bill_Date" attribute="1" time="1" defaultMemberUniqueName="[Range 1].[Bill_Date].[All]" allUniqueName="[Range 1].[Bill_Date].[All]" dimensionUniqueName="[Range 1]" displayFolder="" count="2" memberValueDatatype="7" unbalanced="0"/>
    <cacheHierarchy uniqueName="[Range 1].[Month]" caption="Month" attribute="1" defaultMemberUniqueName="[Range 1].[Month].[All]" allUniqueName="[Range 1].[Month].[All]" dimensionUniqueName="[Range 1]" displayFolder="" count="0" memberValueDatatype="130" unbalanced="0"/>
    <cacheHierarchy uniqueName="[Range 1].[Amount]" caption="Amount" attribute="1" defaultMemberUniqueName="[Range 1].[Amount].[All]" allUniqueName="[Range 1].[Am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Payment_Status]" caption="Payment_Status" attribute="1" defaultMemberUniqueName="[Range 1].[Payment_Status].[All]" allUniqueName="[Range 1].[Payment_Status].[All]" dimensionUniqueName="[Range 1]" displayFolder="" count="0" memberValueDatatype="130" unbalanced="0"/>
    <cacheHierarchy uniqueName="[Range 2].[Patient_Id]" caption="Patient_Id" attribute="1" defaultMemberUniqueName="[Range 2].[Patient_Id].[All]" allUniqueName="[Range 2].[Patient_Id].[All]" dimensionUniqueName="[Range 2]" displayFolder="" count="0" memberValueDatatype="130" unbalanced="0"/>
    <cacheHierarchy uniqueName="[Range 2].[First_Name]" caption="First_Name" attribute="1" defaultMemberUniqueName="[Range 2].[First_Name].[All]" allUniqueName="[Range 2].[First_Name].[All]" dimensionUniqueName="[Range 2]" displayFolder="" count="0" memberValueDatatype="130" unbalanced="0"/>
    <cacheHierarchy uniqueName="[Range 2].[Last_Name]" caption="Last_Name" attribute="1" defaultMemberUniqueName="[Range 2].[Last_Name].[All]" allUniqueName="[Range 2].[Last_Name].[All]" dimensionUniqueName="[Range 2]" displayFolder="" count="0" memberValueDatatype="130" unbalanced="0"/>
    <cacheHierarchy uniqueName="[Range 2].[Gender]" caption="Gender" attribute="1" defaultMemberUniqueName="[Range 2].[Gender].[All]" allUniqueName="[Range 2].[Gender].[All]" dimensionUniqueName="[Range 2]" displayFolder="" count="0" memberValueDatatype="130" unbalanced="0"/>
    <cacheHierarchy uniqueName="[Range 2].[Date_Of_Birth]" caption="Date_Of_Birth" attribute="1" time="1" defaultMemberUniqueName="[Range 2].[Date_Of_Birth].[All]" allUniqueName="[Range 2].[Date_Of_Birth].[All]" dimensionUniqueName="[Range 2]" displayFolder="" count="0" memberValueDatatype="7" unbalanced="0"/>
    <cacheHierarchy uniqueName="[Range 2].[Contact_Number]" caption="Contact_Number" attribute="1" defaultMemberUniqueName="[Range 2].[Contact_Number].[All]" allUniqueName="[Range 2].[Contact_Number].[All]" dimensionUniqueName="[Range 2]" displayFolder="" count="0" memberValueDatatype="5" unbalanced="0"/>
    <cacheHierarchy uniqueName="[Range 2].[Address]" caption="Address" attribute="1" defaultMemberUniqueName="[Range 2].[Address].[All]" allUniqueName="[Range 2].[Address].[All]" dimensionUniqueName="[Range 2]" displayFolder="" count="0" memberValueDatatype="130" unbalanced="0"/>
    <cacheHierarchy uniqueName="[Range 2].[Registration_Date]" caption="Registration_Date" attribute="1" time="1" defaultMemberUniqueName="[Range 2].[Registration_Date].[All]" allUniqueName="[Range 2].[Registration_Date].[All]" dimensionUniqueName="[Range 2]" displayFolder="" count="0" memberValueDatatype="7" unbalanced="0"/>
    <cacheHierarchy uniqueName="[Range 2].[Insurance_Provider]" caption="Insurance_Provider" attribute="1" defaultMemberUniqueName="[Range 2].[Insurance_Provider].[All]" allUniqueName="[Range 2].[Insurance_Provider].[All]" dimensionUniqueName="[Range 2]" displayFolder="" count="0" memberValueDatatype="130" unbalanced="0"/>
    <cacheHierarchy uniqueName="[Range 2].[Insurance_Number]" caption="Insurance_Number" attribute="1" defaultMemberUniqueName="[Range 2].[Insurance_Number].[All]" allUniqueName="[Range 2].[Insurance_Number].[All]" dimensionUniqueName="[Range 2]" displayFolder="" count="0" memberValueDatatype="130" unbalanced="0"/>
    <cacheHierarchy uniqueName="[Range 2].[Email]" caption="Email" attribute="1" defaultMemberUniqueName="[Range 2].[Email].[All]" allUniqueName="[Range 2].[Email].[All]" dimensionUniqueName="[Range 2]" displayFolder="" count="0" memberValueDatatype="130" unbalanced="0"/>
    <cacheHierarchy uniqueName="[Range 3].[Treatment_Id]" caption="Treatment_Id" attribute="1" defaultMemberUniqueName="[Range 3].[Treatment_Id].[All]" allUniqueName="[Range 3].[Treatment_Id].[All]" dimensionUniqueName="[Range 3]" displayFolder="" count="0" memberValueDatatype="130" unbalanced="0"/>
    <cacheHierarchy uniqueName="[Range 3].[Appointment_Id]" caption="Appointment_Id" attribute="1" defaultMemberUniqueName="[Range 3].[Appointment_Id].[All]" allUniqueName="[Range 3].[Appointment_Id].[All]" dimensionUniqueName="[Range 3]" displayFolder="" count="0" memberValueDatatype="130" unbalanced="0"/>
    <cacheHierarchy uniqueName="[Range 3].[Treatment_Type]" caption="Treatment_Type" attribute="1" defaultMemberUniqueName="[Range 3].[Treatment_Type].[All]" allUniqueName="[Range 3].[Treatment_Type].[All]" dimensionUniqueName="[Range 3]" displayFolder="" count="0" memberValueDatatype="130" unbalanced="0"/>
    <cacheHierarchy uniqueName="[Range 3].[Description]" caption="Description" attribute="1" defaultMemberUniqueName="[Range 3].[Description].[All]" allUniqueName="[Range 3].[Description].[All]" dimensionUniqueName="[Range 3]" displayFolder="" count="0" memberValueDatatype="130" unbalanced="0"/>
    <cacheHierarchy uniqueName="[Range 3].[Cost]" caption="Cost" attribute="1" defaultMemberUniqueName="[Range 3].[Cost].[All]" allUniqueName="[Range 3].[Cost].[All]" dimensionUniqueName="[Range 3]" displayFolder="" count="0" memberValueDatatype="5" unbalanced="0"/>
    <cacheHierarchy uniqueName="[Range 3].[Treatment_Date]" caption="Treatment_Date" attribute="1" time="1" defaultMemberUniqueName="[Range 3].[Treatment_Date].[All]" allUniqueName="[Range 3].[Treatment_Date].[All]" dimensionUniqueName="[Range 3]" displayFolder="" count="0" memberValueDatatype="7" unbalanced="0"/>
    <cacheHierarchy uniqueName="[Range 4].[Doctor_Id]" caption="Doctor_Id" attribute="1" defaultMemberUniqueName="[Range 4].[Doctor_Id].[All]" allUniqueName="[Range 4].[Doctor_Id].[All]" dimensionUniqueName="[Range 4]" displayFolder="" count="0" memberValueDatatype="130" unbalanced="0"/>
    <cacheHierarchy uniqueName="[Range 4].[First_Name]" caption="First_Name" attribute="1" defaultMemberUniqueName="[Range 4].[First_Name].[All]" allUniqueName="[Range 4].[First_Name].[All]" dimensionUniqueName="[Range 4]" displayFolder="" count="0" memberValueDatatype="130" unbalanced="0"/>
    <cacheHierarchy uniqueName="[Range 4].[Last_Name]" caption="Last_Name" attribute="1" defaultMemberUniqueName="[Range 4].[Last_Name].[All]" allUniqueName="[Range 4].[Last_Name].[All]" dimensionUniqueName="[Range 4]" displayFolder="" count="0" memberValueDatatype="130" unbalanced="0"/>
    <cacheHierarchy uniqueName="[Range 4].[Full Name]" caption="Full Name" attribute="1" defaultMemberUniqueName="[Range 4].[Full Name].[All]" allUniqueName="[Range 4].[Full Name].[All]" dimensionUniqueName="[Range 4]" displayFolder="" count="0" memberValueDatatype="130" unbalanced="0"/>
    <cacheHierarchy uniqueName="[Range 4].[Specialization]" caption="Specialization" attribute="1" defaultMemberUniqueName="[Range 4].[Specialization].[All]" allUniqueName="[Range 4].[Specialization].[All]" dimensionUniqueName="[Range 4]" displayFolder="" count="0" memberValueDatatype="130" unbalanced="0"/>
    <cacheHierarchy uniqueName="[Range 4].[Phone_Number]" caption="Phone_Number" attribute="1" defaultMemberUniqueName="[Range 4].[Phone_Number].[All]" allUniqueName="[Range 4].[Phone_Number].[All]" dimensionUniqueName="[Range 4]" displayFolder="" count="0" memberValueDatatype="5" unbalanced="0"/>
    <cacheHierarchy uniqueName="[Range 4].[Years_Experience]" caption="Years_Experience" attribute="1" defaultMemberUniqueName="[Range 4].[Years_Experience].[All]" allUniqueName="[Range 4].[Years_Experience].[All]" dimensionUniqueName="[Range 4]" displayFolder="" count="0" memberValueDatatype="20" unbalanced="0"/>
    <cacheHierarchy uniqueName="[Range 4].[Hospital_Branch]" caption="Hospital_Branch" attribute="1" defaultMemberUniqueName="[Range 4].[Hospital_Branch].[All]" allUniqueName="[Range 4].[Hospital_Branch].[All]" dimensionUniqueName="[Range 4]" displayFolder="" count="0" memberValueDatatype="130" unbalanced="0"/>
    <cacheHierarchy uniqueName="[Range 4].[Email]" caption="Email" attribute="1" defaultMemberUniqueName="[Range 4].[Email].[All]" allUniqueName="[Range 4].[Email].[All]" dimensionUniqueName="[Range 4]"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Count of Appointment_Id]" caption="Count of Appointment_Id" measure="1" displayFolder="" measureGroup="Range" count="0" hidden="1">
      <extLst>
        <ext xmlns:x15="http://schemas.microsoft.com/office/spreadsheetml/2010/11/main" uri="{B97F6D7D-B522-45F9-BDA1-12C45D357490}">
          <x15:cacheHierarchy aggregatedColumn="0"/>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
        </ext>
      </extLst>
    </cacheHierarchy>
    <cacheHierarchy uniqueName="[Measures].[Sum of Amount]" caption="Sum of Amount" measure="1" displayFolder="" measureGroup="Range 1" count="0" hidden="1">
      <extLst>
        <ext xmlns:x15="http://schemas.microsoft.com/office/spreadsheetml/2010/11/main" uri="{B97F6D7D-B522-45F9-BDA1-12C45D357490}">
          <x15:cacheHierarchy aggregatedColumn="16"/>
        </ext>
      </extLst>
    </cacheHierarchy>
    <cacheHierarchy uniqueName="[Measures].[Count of Patient_Id 2]" caption="Count of Patient_Id 2" measure="1" displayFolder="" measureGroup="Range 1" count="0" hidden="1">
      <extLst>
        <ext xmlns:x15="http://schemas.microsoft.com/office/spreadsheetml/2010/11/main" uri="{B97F6D7D-B522-45F9-BDA1-12C45D357490}">
          <x15:cacheHierarchy aggregatedColumn="9"/>
        </ext>
      </extLst>
    </cacheHierarchy>
    <cacheHierarchy uniqueName="[Measures].[Count of Patient_Id 3]" caption="Count of Patient_Id 3" measure="1" displayFolder="" measureGroup="Range 2" count="0" hidden="1">
      <extLst>
        <ext xmlns:x15="http://schemas.microsoft.com/office/spreadsheetml/2010/11/main" uri="{B97F6D7D-B522-45F9-BDA1-12C45D357490}">
          <x15:cacheHierarchy aggregatedColumn="19"/>
        </ext>
      </extLst>
    </cacheHierarchy>
    <cacheHierarchy uniqueName="[Measures].[Count of Treatment_Id]" caption="Count of Treatment_Id" measure="1" displayFolder="" measureGroup="Range 1" count="0" hidden="1">
      <extLst>
        <ext xmlns:x15="http://schemas.microsoft.com/office/spreadsheetml/2010/11/main" uri="{B97F6D7D-B522-45F9-BDA1-12C45D357490}">
          <x15:cacheHierarchy aggregatedColumn="12"/>
        </ext>
      </extLst>
    </cacheHierarchy>
    <cacheHierarchy uniqueName="[Measures].[Count of Appointment_Id 2]" caption="Count of Appointment_Id 2" measure="1" displayFolder="" measureGroup="Range 3"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pivotCacheId="20326810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FAFA80-1A9E-424C-9849-785BED51D003}" name="PivotTable19" cacheId="245" applyNumberFormats="0" applyBorderFormats="0" applyFontFormats="0" applyPatternFormats="0" applyAlignmentFormats="0" applyWidthHeightFormats="1" dataCaption="Values" tag="e057ba97-b102-49ae-b677-3944d9784446" updatedVersion="8" minRefreshableVersion="5" useAutoFormatting="1" subtotalHiddenItems="1" itemPrintTitles="1" createdVersion="8" indent="0" outline="1" outlineData="1" multipleFieldFilters="0">
  <location ref="A3:C20" firstHeaderRow="1" firstDataRow="1" firstDataCol="0"/>
  <pivotFields count="1">
    <pivotField allDrilled="1" subtotalTop="0" showAll="0" dataSourceSort="1" defaultSubtotal="0" defaultAttributeDrillState="1"/>
  </pivotField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3" name="[Range 1].[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ppointments!$A$1:$H$201">
        <x15:activeTabTopLevelEntity name="[Range]"/>
        <x15:activeTabTopLevelEntity name="[Range 4]"/>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0412E5-EF32-4A1B-81F1-8A3EF467F121}" name="PivotTable25" cacheId="254" applyNumberFormats="0" applyBorderFormats="0" applyFontFormats="0" applyPatternFormats="0" applyAlignmentFormats="0" applyWidthHeightFormats="1" dataCaption="Values" tag="d06ad822-e515-456e-a70a-42187870c49c" updatedVersion="8" minRefreshableVersion="5" useAutoFormatting="1" itemPrintTitles="1" createdVersion="8" indent="0" outline="1" outlineData="1" multipleFieldFilters="0">
  <location ref="A3:C20" firstHeaderRow="1" firstDataRow="1" firstDataCol="0"/>
  <pivotFields count="1">
    <pivotField allDrilled="1" subtotalTop="0" showAll="0" dataSourceSort="1" defaultSubtotal="0" defaultAttributeDrillState="1"/>
  </pivotField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3" name="[Range 1].[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lling!$A$1:$K$201">
        <x15:activeTabTopLevelEntity name="[Range 1]"/>
        <x15:activeTabTopLevelEntity name="[Range 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DAAB21-2A37-4A94-8D97-E7EE148BFEFE}" name="PivotTable21" cacheId="152" applyNumberFormats="0" applyBorderFormats="0" applyFontFormats="0" applyPatternFormats="0" applyAlignmentFormats="0" applyWidthHeightFormats="1" dataCaption="Values" tag="7c0e4651-a59f-496b-a466-831dd066f321" updatedVersion="8" minRefreshableVersion="3" useAutoFormatting="1" subtotalHiddenItems="1" itemPrintTitles="1" createdVersion="8" indent="0" outline="1" outlineData="1" multipleFieldFilters="0">
  <location ref="A3:C20" firstHeaderRow="1" firstDataRow="1" firstDataCol="0"/>
  <pivotFields count="1">
    <pivotField allDrilled="1" subtotalTop="0" showAll="0" dataSourceSort="1" defaultSubtotal="0" defaultAttributeDrillState="1"/>
  </pivotField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atient!$A$1:$K$51">
        <x15:activeTabTopLevelEntity name="[Range 2]"/>
        <x15:activeTabTopLevelEntity name="[Range 4]"/>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BECB32-3018-412F-A05C-13E3046C1650}" name="PivotTable23" cacheId="248" applyNumberFormats="0" applyBorderFormats="0" applyFontFormats="0" applyPatternFormats="0" applyAlignmentFormats="0" applyWidthHeightFormats="1" dataCaption="Values" tag="c8ee9eb1-fc98-4e82-bd93-ac3f11d75b3b" updatedVersion="8" minRefreshableVersion="5" useAutoFormatting="1" itemPrintTitles="1" createdVersion="8" indent="0" outline="1" outlineData="1" multipleFieldFilters="0">
  <location ref="A3:C20" firstHeaderRow="1" firstDataRow="1" firstDataCol="0"/>
  <pivotFields count="1">
    <pivotField allDrilled="1" subtotalTop="0" showAll="0" dataSourceSort="1" defaultSubtotal="0" defaultAttributeDrillState="1"/>
  </pivotField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3" name="[Range 1].[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eatment!$A$1:$F$201">
        <x15:activeTabTopLevelEntity name="[Range 3]"/>
        <x15:activeTabTopLevelEntity name="[Range 4]"/>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0BAD32-4415-4CEC-B88A-DE10E77D2087}" name="PivotTable24" cacheId="251" applyNumberFormats="0" applyBorderFormats="0" applyFontFormats="0" applyPatternFormats="0" applyAlignmentFormats="0" applyWidthHeightFormats="1" dataCaption="Values" tag="d35d0d7e-0c4b-40df-9b86-10f8a4b4f21e" updatedVersion="8" minRefreshableVersion="5" useAutoFormatting="1" itemPrintTitles="1" createdVersion="8" indent="0" outline="1" outlineData="1" multipleFieldFilters="0">
  <location ref="A3:C20" firstHeaderRow="1" firstDataRow="1" firstDataCol="0"/>
  <pivotFields count="1">
    <pivotField allDrilled="1" subtotalTop="0" showAll="0" dataSourceSort="1" defaultSubtotal="0" defaultAttributeDrillState="1"/>
  </pivotField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3" name="[Range 1].[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octor!$A$1:$I$11">
        <x15:activeTabTopLevelEntity name="[Range 4]"/>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C6873B-25F0-4A5E-A453-2B09995729F6}" name="PivotTable30" cacheId="242" applyNumberFormats="0" applyBorderFormats="0" applyFontFormats="0" applyPatternFormats="0" applyAlignmentFormats="0" applyWidthHeightFormats="1" dataCaption="Values" tag="c453e9c6-a533-4645-ba06-14a31b7c1f06" updatedVersion="8" minRefreshableVersion="5" useAutoFormatting="1" itemPrintTitles="1" createdVersion="5" indent="0" outline="1" outlineData="1" multipleFieldFilters="0" chartFormat="17">
  <location ref="B78:C89"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Amount" fld="0" baseField="0" baseItem="0"/>
  </dataFields>
  <formats count="12">
    <format dxfId="191">
      <pivotArea type="all" dataOnly="0" outline="0" fieldPosition="0"/>
    </format>
    <format dxfId="190">
      <pivotArea outline="0" collapsedLevelsAreSubtotals="1" fieldPosition="0"/>
    </format>
    <format dxfId="189">
      <pivotArea field="1" type="button" dataOnly="0" labelOnly="1" outline="0" axis="axisRow" fieldPosition="0"/>
    </format>
    <format dxfId="188">
      <pivotArea dataOnly="0" labelOnly="1" fieldPosition="0">
        <references count="1">
          <reference field="1" count="0"/>
        </references>
      </pivotArea>
    </format>
    <format dxfId="187">
      <pivotArea dataOnly="0" labelOnly="1" grandRow="1" outline="0"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field="1" type="button" dataOnly="0" labelOnly="1" outline="0" axis="axisRow" fieldPosition="0"/>
    </format>
    <format dxfId="182">
      <pivotArea dataOnly="0" labelOnly="1" fieldPosition="0">
        <references count="1">
          <reference field="1" count="0"/>
        </references>
      </pivotArea>
    </format>
    <format dxfId="181">
      <pivotArea dataOnly="0" labelOnly="1" grandRow="1" outline="0" fieldPosition="0"/>
    </format>
    <format dxfId="180">
      <pivotArea dataOnly="0" labelOnly="1" outline="0" axis="axisValues" fieldPosition="0"/>
    </format>
  </formats>
  <chartFormats count="5">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Range 1].[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4]"/>
        <x15:activeTabTopLevelEntity name="[Range 2]"/>
        <x15:activeTabTopLevelEntity name="[Range 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F44994-EDA4-4558-AD1D-14E8D704534A}" name="PivotTable29" cacheId="230" applyNumberFormats="0" applyBorderFormats="0" applyFontFormats="0" applyPatternFormats="0" applyAlignmentFormats="0" applyWidthHeightFormats="1" dataCaption="Values" tag="852b33b7-65c1-4ba6-9dc4-f742895b2fd9" updatedVersion="8" minRefreshableVersion="5" useAutoFormatting="1" itemPrintTitles="1" createdVersion="5" indent="0" outline="1" outlineData="1" multipleFieldFilters="0" chartFormat="16">
  <location ref="B59:C72"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Amount" fld="0" baseField="0" baseItem="0"/>
  </dataFields>
  <formats count="12">
    <format dxfId="203">
      <pivotArea type="all" dataOnly="0" outline="0" fieldPosition="0"/>
    </format>
    <format dxfId="202">
      <pivotArea outline="0" collapsedLevelsAreSubtotals="1" fieldPosition="0"/>
    </format>
    <format dxfId="201">
      <pivotArea field="1" type="button" dataOnly="0" labelOnly="1" outline="0" axis="axisRow" fieldPosition="0"/>
    </format>
    <format dxfId="200">
      <pivotArea dataOnly="0" labelOnly="1" fieldPosition="0">
        <references count="1">
          <reference field="1" count="0"/>
        </references>
      </pivotArea>
    </format>
    <format dxfId="199">
      <pivotArea dataOnly="0" labelOnly="1" grandRow="1" outline="0" fieldPosition="0"/>
    </format>
    <format dxfId="198">
      <pivotArea dataOnly="0" labelOnly="1" outline="0" axis="axisValues" fieldPosition="0"/>
    </format>
    <format dxfId="197">
      <pivotArea type="all" dataOnly="0" outline="0" fieldPosition="0"/>
    </format>
    <format dxfId="196">
      <pivotArea outline="0" collapsedLevelsAreSubtotals="1" fieldPosition="0"/>
    </format>
    <format dxfId="195">
      <pivotArea field="1" type="button" dataOnly="0" labelOnly="1" outline="0" axis="axisRow" fieldPosition="0"/>
    </format>
    <format dxfId="194">
      <pivotArea dataOnly="0" labelOnly="1" fieldPosition="0">
        <references count="1">
          <reference field="1" count="0"/>
        </references>
      </pivotArea>
    </format>
    <format dxfId="193">
      <pivotArea dataOnly="0" labelOnly="1" grandRow="1" outline="0" fieldPosition="0"/>
    </format>
    <format dxfId="192">
      <pivotArea dataOnly="0" labelOnly="1" outline="0" axis="axisValues" fieldPosition="0"/>
    </format>
  </formats>
  <chartFormats count="5">
    <chartFormat chart="4"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4" showRowHeaders="1" showColHeaders="1" showRowStripes="0" showColStripes="0" showLastColumn="1"/>
  <filters count="1">
    <filter fld="2" type="dateBetween" evalOrder="-1" id="6" name="[Range 1].[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4]"/>
        <x15:activeTabTopLevelEntity name="[Range 2]"/>
        <x15:activeTabTopLevelEntity name="[Range 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68B1A8-940B-4AC1-926F-3DCB947BDFA9}" name="PivotTable28" cacheId="239" applyNumberFormats="0" applyBorderFormats="0" applyFontFormats="0" applyPatternFormats="0" applyAlignmentFormats="0" applyWidthHeightFormats="1" dataCaption="Values" tag="6aa5cdca-ec49-4b38-a6e8-fe2d86a70ae5" updatedVersion="8" minRefreshableVersion="5" useAutoFormatting="1" itemPrintTitles="1" createdVersion="5" indent="0" outline="1" outlineData="1" multipleFieldFilters="0" chartFormat="15">
  <location ref="B40:C4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mount" fld="1" baseField="0" baseItem="0"/>
  </dataFields>
  <formats count="12">
    <format dxfId="215">
      <pivotArea type="all" dataOnly="0" outline="0" fieldPosition="0"/>
    </format>
    <format dxfId="214">
      <pivotArea outline="0" collapsedLevelsAreSubtotals="1" fieldPosition="0"/>
    </format>
    <format dxfId="213">
      <pivotArea field="0" type="button" dataOnly="0" labelOnly="1" outline="0" axis="axisRow" fieldPosition="0"/>
    </format>
    <format dxfId="212">
      <pivotArea dataOnly="0" labelOnly="1" fieldPosition="0">
        <references count="1">
          <reference field="0" count="0"/>
        </references>
      </pivotArea>
    </format>
    <format dxfId="211">
      <pivotArea dataOnly="0" labelOnly="1" grandRow="1" outline="0" fieldPosition="0"/>
    </format>
    <format dxfId="210">
      <pivotArea dataOnly="0" labelOnly="1" outline="0" axis="axisValues" fieldPosition="0"/>
    </format>
    <format dxfId="209">
      <pivotArea type="all" dataOnly="0" outline="0" fieldPosition="0"/>
    </format>
    <format dxfId="208">
      <pivotArea outline="0" collapsedLevelsAreSubtotals="1" fieldPosition="0"/>
    </format>
    <format dxfId="207">
      <pivotArea field="0" type="button" dataOnly="0" labelOnly="1" outline="0" axis="axisRow" fieldPosition="0"/>
    </format>
    <format dxfId="206">
      <pivotArea dataOnly="0" labelOnly="1" fieldPosition="0">
        <references count="1">
          <reference field="0" count="0"/>
        </references>
      </pivotArea>
    </format>
    <format dxfId="205">
      <pivotArea dataOnly="0" labelOnly="1" grandRow="1" outline="0" fieldPosition="0"/>
    </format>
    <format dxfId="204">
      <pivotArea dataOnly="0" labelOnly="1" outline="0" axis="axisValues" fieldPosition="0"/>
    </format>
  </formats>
  <chartFormats count="3">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Range 1].[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4]"/>
        <x15:activeTabTopLevelEntity name="[Range 2]"/>
        <x15:activeTabTopLevelEntity name="[Range 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DAE405-9458-4271-9C4A-C9EB9737D934}" name="PivotTable27" cacheId="236" applyNumberFormats="0" applyBorderFormats="0" applyFontFormats="0" applyPatternFormats="0" applyAlignmentFormats="0" applyWidthHeightFormats="1" dataCaption="Values" tag="da0fc6ef-5181-4bac-a4a4-3a72465f40f4" updatedVersion="8" minRefreshableVersion="5" useAutoFormatting="1" itemPrintTitles="1" createdVersion="5" indent="0" outline="1" outlineData="1" multipleFieldFilters="0" chartFormat="16">
  <location ref="B26:C32" firstHeaderRow="1" firstDataRow="1" firstDataCol="1"/>
  <pivotFields count="3">
    <pivotField axis="axisRow" allDrilled="1" subtotalTop="0" showAll="0" defaultSubtotal="0" defaultAttributeDrillState="1">
      <items count="5">
        <item x="4"/>
        <item x="0"/>
        <item x="1"/>
        <item x="3"/>
        <item x="2"/>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atient_Id" fld="1" subtotal="count" baseField="0" baseItem="0"/>
  </dataFields>
  <formats count="12">
    <format dxfId="227">
      <pivotArea type="all" dataOnly="0" outline="0" fieldPosition="0"/>
    </format>
    <format dxfId="226">
      <pivotArea outline="0" collapsedLevelsAreSubtotals="1" fieldPosition="0"/>
    </format>
    <format dxfId="225">
      <pivotArea field="0" type="button" dataOnly="0" labelOnly="1" outline="0" axis="axisRow" fieldPosition="0"/>
    </format>
    <format dxfId="224">
      <pivotArea dataOnly="0" labelOnly="1" fieldPosition="0">
        <references count="1">
          <reference field="0" count="0"/>
        </references>
      </pivotArea>
    </format>
    <format dxfId="223">
      <pivotArea dataOnly="0" labelOnly="1" grandRow="1" outline="0" fieldPosition="0"/>
    </format>
    <format dxfId="222">
      <pivotArea dataOnly="0" labelOnly="1" outline="0" axis="axisValues" fieldPosition="0"/>
    </format>
    <format dxfId="221">
      <pivotArea type="all" dataOnly="0" outline="0" fieldPosition="0"/>
    </format>
    <format dxfId="220">
      <pivotArea outline="0" collapsedLevelsAreSubtotals="1" fieldPosition="0"/>
    </format>
    <format dxfId="219">
      <pivotArea field="0" type="button" dataOnly="0" labelOnly="1" outline="0" axis="axisRow" fieldPosition="0"/>
    </format>
    <format dxfId="218">
      <pivotArea dataOnly="0" labelOnly="1" fieldPosition="0">
        <references count="1">
          <reference field="0" count="0"/>
        </references>
      </pivotArea>
    </format>
    <format dxfId="217">
      <pivotArea dataOnly="0" labelOnly="1" grandRow="1" outline="0" fieldPosition="0"/>
    </format>
    <format dxfId="216">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Range 1].[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4]"/>
        <x15:activeTabTopLevelEntity name="[Range 2]"/>
        <x15:activeTabTopLevelEntity name="[Range 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DE7933-946E-4CCB-A928-30D8DA1A6F6E}" name="PivotTable26" cacheId="233" applyNumberFormats="0" applyBorderFormats="0" applyFontFormats="0" applyPatternFormats="0" applyAlignmentFormats="0" applyWidthHeightFormats="1" dataCaption="Values" tag="54d55ea5-d0e9-4d1f-ab13-6db5f8d89896" updatedVersion="8" minRefreshableVersion="5" useAutoFormatting="1" itemPrintTitles="1" createdVersion="5" indent="0" outline="1" outlineData="1" multipleFieldFilters="0" chartFormat="16">
  <location ref="B3:C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Appointment_Id" fld="1" subtotal="count" baseField="0" baseItem="0"/>
  </dataFields>
  <formats count="12">
    <format dxfId="239">
      <pivotArea type="all" dataOnly="0" outline="0" fieldPosition="0"/>
    </format>
    <format dxfId="238">
      <pivotArea outline="0" collapsedLevelsAreSubtotals="1" fieldPosition="0"/>
    </format>
    <format dxfId="237">
      <pivotArea field="0" type="button" dataOnly="0" labelOnly="1" outline="0" axis="axisRow" fieldPosition="0"/>
    </format>
    <format dxfId="236">
      <pivotArea dataOnly="0" labelOnly="1" fieldPosition="0">
        <references count="1">
          <reference field="0" count="0"/>
        </references>
      </pivotArea>
    </format>
    <format dxfId="235">
      <pivotArea dataOnly="0" labelOnly="1" grandRow="1" outline="0" fieldPosition="0"/>
    </format>
    <format dxfId="234">
      <pivotArea dataOnly="0" labelOnly="1" outline="0" axis="axisValues" fieldPosition="0"/>
    </format>
    <format dxfId="233">
      <pivotArea type="all" dataOnly="0" outline="0" fieldPosition="0"/>
    </format>
    <format dxfId="232">
      <pivotArea outline="0" collapsedLevelsAreSubtotals="1" fieldPosition="0"/>
    </format>
    <format dxfId="231">
      <pivotArea field="0" type="button" dataOnly="0" labelOnly="1" outline="0" axis="axisRow" fieldPosition="0"/>
    </format>
    <format dxfId="230">
      <pivotArea dataOnly="0" labelOnly="1" fieldPosition="0">
        <references count="1">
          <reference field="0" count="0"/>
        </references>
      </pivotArea>
    </format>
    <format dxfId="229">
      <pivotArea dataOnly="0" labelOnly="1" grandRow="1" outline="0" fieldPosition="0"/>
    </format>
    <format dxfId="22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Range 1].[Bill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4]"/>
        <x15:activeTabTopLevelEntity name="[Range 2]"/>
        <x15:activeTabTopLevelEntity name="[Range 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Name" xr10:uid="{5DD70606-5661-4D9A-83BE-62A171D50A70}" sourceName="[Range 4].[Full Name]">
  <pivotTables>
    <pivotTable tabId="27" name="PivotTable26"/>
    <pivotTable tabId="20" name="PivotTable19"/>
    <pivotTable tabId="22" name="PivotTable21"/>
    <pivotTable tabId="24" name="PivotTable23"/>
    <pivotTable tabId="25" name="PivotTable24"/>
    <pivotTable tabId="26" name="PivotTable25"/>
    <pivotTable tabId="27" name="PivotTable27"/>
    <pivotTable tabId="27" name="PivotTable28"/>
    <pivotTable tabId="27" name="PivotTable29"/>
    <pivotTable tabId="27" name="PivotTable30"/>
  </pivotTables>
  <data>
    <olap pivotCacheId="1063260634">
      <levels count="2">
        <level uniqueName="[Range 4].[Full Name].[(All)]" sourceCaption="(All)" count="0"/>
        <level uniqueName="[Range 4].[Full Name].[Full Name]" sourceCaption="Full Name" count="10">
          <ranges>
            <range startItem="0">
              <i n="[Range 4].[Full Name].&amp;[Alex Davis]" c="Alex Davis"/>
              <i n="[Range 4].[Full Name].&amp;[David Jones]" c="David Jones"/>
              <i n="[Range 4].[Full Name].&amp;[David Taylor]" c="David Taylor"/>
              <i n="[Range 4].[Full Name].&amp;[Jane Davis]" c="Jane Davis"/>
              <i n="[Range 4].[Full Name].&amp;[Jane Smith]" c="Jane Smith"/>
              <i n="[Range 4].[Full Name].&amp;[Linda Brown]" c="Linda Brown"/>
              <i n="[Range 4].[Full Name].&amp;[Linda Wilson]" c="Linda Wilson"/>
              <i n="[Range 4].[Full Name].&amp;[Robert Davis]" c="Robert Davis"/>
              <i n="[Range 4].[Full Name].&amp;[Sarah Smith]" c="Sarah Smith"/>
              <i n="[Range 4].[Full Name].&amp;[Sarah Taylor]" c="Sarah Taylor"/>
            </range>
          </ranges>
        </level>
      </levels>
      <selections count="1">
        <selection n="[Range 4].[Full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For_Visit" xr10:uid="{1CDEF809-0ACF-4C0A-A018-1894C33027FC}" sourceName="[Range].[Reason_For_Visit]">
  <pivotTables>
    <pivotTable tabId="27" name="PivotTable27"/>
    <pivotTable tabId="20" name="PivotTable19"/>
    <pivotTable tabId="22" name="PivotTable21"/>
    <pivotTable tabId="24" name="PivotTable23"/>
    <pivotTable tabId="25" name="PivotTable24"/>
    <pivotTable tabId="26" name="PivotTable25"/>
    <pivotTable tabId="27" name="PivotTable26"/>
    <pivotTable tabId="27" name="PivotTable28"/>
    <pivotTable tabId="27" name="PivotTable29"/>
    <pivotTable tabId="27" name="PivotTable30"/>
  </pivotTables>
  <data>
    <olap pivotCacheId="1063260634">
      <levels count="2">
        <level uniqueName="[Range].[Reason_For_Visit].[(All)]" sourceCaption="(All)" count="0"/>
        <level uniqueName="[Range].[Reason_For_Visit].[Reason_For_Visit]" sourceCaption="Reason_For_Visit" count="5">
          <ranges>
            <range startItem="0">
              <i n="[Range].[Reason_For_Visit].&amp;[Checkup]" c="Checkup"/>
              <i n="[Range].[Reason_For_Visit].&amp;[Consultation]" c="Consultation"/>
              <i n="[Range].[Reason_For_Visit].&amp;[Emergency]" c="Emergency"/>
              <i n="[Range].[Reason_For_Visit].&amp;[Follow-up]" c="Follow-up"/>
              <i n="[Range].[Reason_For_Visit].&amp;[Therapy]" c="Therapy"/>
            </range>
          </ranges>
        </level>
      </levels>
      <selections count="1">
        <selection n="[Range].[Reason_For_Visi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B45A7165-F7BF-4CB9-AE5C-2B18DEEBF946}" sourceName="[Range 1].[Treatment_Type]">
  <pivotTables>
    <pivotTable tabId="27" name="PivotTable28"/>
    <pivotTable tabId="20" name="PivotTable19"/>
    <pivotTable tabId="22" name="PivotTable21"/>
    <pivotTable tabId="24" name="PivotTable23"/>
    <pivotTable tabId="25" name="PivotTable24"/>
    <pivotTable tabId="26" name="PivotTable25"/>
    <pivotTable tabId="27" name="PivotTable26"/>
    <pivotTable tabId="27" name="PivotTable27"/>
    <pivotTable tabId="27" name="PivotTable29"/>
    <pivotTable tabId="27" name="PivotTable30"/>
  </pivotTables>
  <data>
    <olap pivotCacheId="1063260634">
      <levels count="2">
        <level uniqueName="[Range 1].[Treatment_Type].[(All)]" sourceCaption="(All)" count="0"/>
        <level uniqueName="[Range 1].[Treatment_Type].[Treatment_Type]" sourceCaption="Treatment_Type" count="5">
          <ranges>
            <range startItem="0">
              <i n="[Range 1].[Treatment_Type].&amp;[Chemotherapy]" c="Chemotherapy"/>
              <i n="[Range 1].[Treatment_Type].&amp;[ECG]" c="ECG"/>
              <i n="[Range 1].[Treatment_Type].&amp;[MRI]" c="MRI"/>
              <i n="[Range 1].[Treatment_Type].&amp;[Physiotherapy]" c="Physiotherapy"/>
              <i n="[Range 1].[Treatment_Type].&amp;[X-Ray]" c="X-Ray"/>
            </range>
          </ranges>
        </level>
      </levels>
      <selections count="1">
        <selection n="[Range 1].[Treatment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E7013F2-BBB9-4AFE-8C76-CC126ADEA38C}" sourceName="[Range 1].[Month]">
  <pivotTables>
    <pivotTable tabId="27" name="PivotTable29"/>
    <pivotTable tabId="20" name="PivotTable19"/>
    <pivotTable tabId="22" name="PivotTable21"/>
    <pivotTable tabId="24" name="PivotTable23"/>
    <pivotTable tabId="25" name="PivotTable24"/>
    <pivotTable tabId="26" name="PivotTable25"/>
    <pivotTable tabId="27" name="PivotTable26"/>
    <pivotTable tabId="27" name="PivotTable27"/>
    <pivotTable tabId="27" name="PivotTable28"/>
    <pivotTable tabId="27" name="PivotTable30"/>
  </pivotTables>
  <data>
    <olap pivotCacheId="1063260634">
      <levels count="2">
        <level uniqueName="[Range 1].[Month].[(All)]" sourceCaption="(All)" count="0"/>
        <level uniqueName="[Range 1].[Month].[Month]" sourceCaption="Month" count="12">
          <ranges>
            <range startItem="0">
              <i n="[Range 1].[Month].&amp;[April-2023]" c="April-2023"/>
              <i n="[Range 1].[Month].&amp;[August-2023]" c="August-2023"/>
              <i n="[Range 1].[Month].&amp;[December-2023]" c="December-2023"/>
              <i n="[Range 1].[Month].&amp;[February-2023]" c="February-2023"/>
              <i n="[Range 1].[Month].&amp;[January-2023]" c="January-2023"/>
              <i n="[Range 1].[Month].&amp;[July-2023]" c="July-2023"/>
              <i n="[Range 1].[Month].&amp;[June-2023]" c="June-2023"/>
              <i n="[Range 1].[Month].&amp;[March-2023]" c="March-2023"/>
              <i n="[Range 1].[Month].&amp;[May-2023]" c="May-2023"/>
              <i n="[Range 1].[Month].&amp;[November-2023]" c="November-2023"/>
              <i n="[Range 1].[Month].&amp;[October-2023]" c="October-2023"/>
              <i n="[Range 1].[Month].&amp;[September-2023]" c="September-2023"/>
            </range>
          </ranges>
        </level>
      </levels>
      <selections count="1">
        <selection n="[Range 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ll Name" xr10:uid="{7018CE0C-0B55-4549-BE41-F99C1361A67E}" cache="Slicer_Full_Name" caption="Full Name" startItem="3" level="1" style="SlicerStyleLight6" rowHeight="234950"/>
  <slicer name="Reason_For_Visit" xr10:uid="{64417179-D0D5-487A-AE3C-8DEE39FD7756}" cache="Slicer_Reason_For_Visit" caption="Reason_For_Visit" level="1" style="SlicerStyleLight6" rowHeight="234950"/>
  <slicer name="Treatment_Type" xr10:uid="{FCD96123-9160-41A1-B04C-6C091F15DA5A}" cache="Slicer_Treatment_Type" caption="Treatment_Type" level="1" style="SlicerStyleLight6" rowHeight="234950"/>
  <slicer name="Month" xr10:uid="{C75157C3-FDF7-4825-B6E0-3058B6A83D30}" cache="Slicer_Month" caption="Month" level="1"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ll Name 1" xr10:uid="{56B5BB44-6FC3-4281-A697-54DCB957C7AA}" cache="Slicer_Full_Name" caption="Full Name" level="1" style="SlicerStyleLight6" rowHeight="234950"/>
  <slicer name="Reason_For_Visit 1" xr10:uid="{59BCA449-C3BB-46EC-B99F-C8D9A5CF796D}" cache="Slicer_Reason_For_Visit" caption="Reason_For_Visit" level="1" style="SlicerStyleLight6" rowHeight="234950"/>
  <slicer name="Treatment_Type 1" xr10:uid="{81D33CDE-80E7-4925-8374-4C93A843D641}" cache="Slicer_Treatment_Type" caption="Treatment_Type" level="1" style="SlicerStyleLight6"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Bill_Date" xr10:uid="{C8D7C358-8A9D-42CD-A931-A5BEFC3CAB64}" sourceName="[Range 1].[Bill_Date]">
  <pivotTables>
    <pivotTable tabId="27" name="PivotTable29"/>
    <pivotTable tabId="27" name="PivotTable26"/>
    <pivotTable tabId="27" name="PivotTable27"/>
    <pivotTable tabId="27" name="PivotTable28"/>
    <pivotTable tabId="27" name="PivotTable30"/>
    <pivotTable tabId="20" name="PivotTable19"/>
    <pivotTable tabId="24" name="PivotTable23"/>
    <pivotTable tabId="25" name="PivotTable24"/>
    <pivotTable tabId="26" name="PivotTable25"/>
  </pivotTables>
  <state minimalRefreshVersion="6" lastRefreshVersion="6" pivotCacheId="2032681033" filterType="dateBetween">
    <selection startDate="2023-01-01T00:00:00" endDate="2023-12-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Bill_Date" xr10:uid="{72E1AADC-FD0B-435F-B4E0-BCB49F539EF1}" cache="Timeline_Bill_Date" caption="Bill_Date" level="2" selectionLevel="0" scrollPosition="2023-01-01T00:00:00" style="TimeSlicerStyleLight6"/>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811468A-131A-4214-A4BB-5A1079230C83}">
  <we:reference id="wa200010215" version="2.0.0.0" store="en-US" storeType="OMEX"/>
  <we:alternateReferences>
    <we:reference id="wa200010215" version="2.0.0.0" store="WA200010215" storeType="OMEX"/>
  </we:alternateReferences>
  <we:properties>
    <we:property name="bps.codex_control.document_id" value="&quot;59fc8644-26b3-4f45-afcb-e03a962fc94d&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6CE9A-6746-48B3-AD1E-350646FBC7C8}">
  <dimension ref="A1:G201"/>
  <sheetViews>
    <sheetView workbookViewId="0">
      <selection activeCell="B24" sqref="B24"/>
    </sheetView>
  </sheetViews>
  <sheetFormatPr defaultColWidth="9.77734375" defaultRowHeight="14.4" x14ac:dyDescent="0.3"/>
  <cols>
    <col min="1" max="1" width="15" bestFit="1" customWidth="1"/>
    <col min="2" max="2" width="9.6640625" bestFit="1" customWidth="1"/>
    <col min="3" max="3" width="9.33203125" bestFit="1" customWidth="1"/>
    <col min="4" max="4" width="17.33203125" bestFit="1" customWidth="1"/>
    <col min="5" max="5" width="17.5546875" bestFit="1" customWidth="1"/>
    <col min="6" max="6" width="15.44140625" bestFit="1" customWidth="1"/>
    <col min="7" max="7" width="9.88671875" bestFit="1" customWidth="1"/>
    <col min="10" max="10" width="11.77734375" bestFit="1" customWidth="1"/>
  </cols>
  <sheetData>
    <row r="1" spans="1:7" x14ac:dyDescent="0.3">
      <c r="A1" s="3" t="s">
        <v>825</v>
      </c>
      <c r="B1" s="3" t="s">
        <v>819</v>
      </c>
      <c r="C1" s="3" t="s">
        <v>826</v>
      </c>
      <c r="D1" s="3" t="s">
        <v>827</v>
      </c>
      <c r="E1" s="3" t="s">
        <v>828</v>
      </c>
      <c r="F1" s="3" t="s">
        <v>829</v>
      </c>
      <c r="G1" s="3" t="s">
        <v>830</v>
      </c>
    </row>
    <row r="2" spans="1:7" x14ac:dyDescent="0.3">
      <c r="A2" s="2" t="s">
        <v>0</v>
      </c>
      <c r="B2" s="2" t="s">
        <v>1</v>
      </c>
      <c r="C2" s="2" t="s">
        <v>2</v>
      </c>
      <c r="D2" s="4">
        <v>45147</v>
      </c>
      <c r="E2" s="1">
        <v>0.63541666666666663</v>
      </c>
      <c r="F2" s="2" t="s">
        <v>3</v>
      </c>
      <c r="G2" s="2" t="s">
        <v>4</v>
      </c>
    </row>
    <row r="3" spans="1:7" x14ac:dyDescent="0.3">
      <c r="A3" s="2" t="s">
        <v>5</v>
      </c>
      <c r="B3" s="2" t="s">
        <v>6</v>
      </c>
      <c r="C3" s="2" t="s">
        <v>7</v>
      </c>
      <c r="D3" s="4">
        <v>45086</v>
      </c>
      <c r="E3" s="1">
        <v>0.60416666666666663</v>
      </c>
      <c r="F3" s="2" t="s">
        <v>3</v>
      </c>
      <c r="G3" s="2" t="s">
        <v>8</v>
      </c>
    </row>
    <row r="4" spans="1:7" x14ac:dyDescent="0.3">
      <c r="A4" s="2" t="s">
        <v>9</v>
      </c>
      <c r="B4" s="2" t="s">
        <v>10</v>
      </c>
      <c r="C4" s="2" t="s">
        <v>7</v>
      </c>
      <c r="D4" s="4">
        <v>45105</v>
      </c>
      <c r="E4" s="1">
        <v>0.33333333333333331</v>
      </c>
      <c r="F4" s="2" t="s">
        <v>11</v>
      </c>
      <c r="G4" s="2" t="s">
        <v>12</v>
      </c>
    </row>
    <row r="5" spans="1:7" x14ac:dyDescent="0.3">
      <c r="A5" s="2" t="s">
        <v>13</v>
      </c>
      <c r="B5" s="2" t="s">
        <v>14</v>
      </c>
      <c r="C5" s="2" t="s">
        <v>15</v>
      </c>
      <c r="D5" s="4">
        <v>45170</v>
      </c>
      <c r="E5" s="1">
        <v>0.38541666666666669</v>
      </c>
      <c r="F5" s="2" t="s">
        <v>11</v>
      </c>
      <c r="G5" s="2" t="s">
        <v>12</v>
      </c>
    </row>
    <row r="6" spans="1:7" x14ac:dyDescent="0.3">
      <c r="A6" s="2" t="s">
        <v>16</v>
      </c>
      <c r="B6" s="2" t="s">
        <v>17</v>
      </c>
      <c r="C6" s="2" t="s">
        <v>18</v>
      </c>
      <c r="D6" s="4">
        <v>45113</v>
      </c>
      <c r="E6" s="1">
        <v>0.53125</v>
      </c>
      <c r="F6" s="2" t="s">
        <v>19</v>
      </c>
      <c r="G6" s="2" t="s">
        <v>8</v>
      </c>
    </row>
    <row r="7" spans="1:7" x14ac:dyDescent="0.3">
      <c r="A7" s="2" t="s">
        <v>20</v>
      </c>
      <c r="B7" s="2" t="s">
        <v>21</v>
      </c>
      <c r="C7" s="2" t="s">
        <v>15</v>
      </c>
      <c r="D7" s="4">
        <v>45096</v>
      </c>
      <c r="E7" s="1">
        <v>0.67708333333333337</v>
      </c>
      <c r="F7" s="2" t="s">
        <v>22</v>
      </c>
      <c r="G7" s="2" t="s">
        <v>4</v>
      </c>
    </row>
    <row r="8" spans="1:7" x14ac:dyDescent="0.3">
      <c r="A8" s="2" t="s">
        <v>23</v>
      </c>
      <c r="B8" s="2" t="s">
        <v>24</v>
      </c>
      <c r="C8" s="2" t="s">
        <v>25</v>
      </c>
      <c r="D8" s="4">
        <v>45025</v>
      </c>
      <c r="E8" s="1">
        <v>0.4375</v>
      </c>
      <c r="F8" s="2" t="s">
        <v>11</v>
      </c>
      <c r="G8" s="2" t="s">
        <v>4</v>
      </c>
    </row>
    <row r="9" spans="1:7" x14ac:dyDescent="0.3">
      <c r="A9" s="2" t="s">
        <v>26</v>
      </c>
      <c r="B9" s="2" t="s">
        <v>27</v>
      </c>
      <c r="C9" s="2" t="s">
        <v>28</v>
      </c>
      <c r="D9" s="4">
        <v>45070</v>
      </c>
      <c r="E9" s="1">
        <v>0.36458333333333331</v>
      </c>
      <c r="F9" s="2" t="s">
        <v>11</v>
      </c>
      <c r="G9" s="2" t="s">
        <v>12</v>
      </c>
    </row>
    <row r="10" spans="1:7" x14ac:dyDescent="0.3">
      <c r="A10" s="2" t="s">
        <v>29</v>
      </c>
      <c r="B10" s="2" t="s">
        <v>30</v>
      </c>
      <c r="C10" s="2" t="s">
        <v>28</v>
      </c>
      <c r="D10" s="4">
        <v>44990</v>
      </c>
      <c r="E10" s="1">
        <v>0.57291666666666663</v>
      </c>
      <c r="F10" s="2" t="s">
        <v>31</v>
      </c>
      <c r="G10" s="2" t="s">
        <v>4</v>
      </c>
    </row>
    <row r="11" spans="1:7" x14ac:dyDescent="0.3">
      <c r="A11" s="2" t="s">
        <v>32</v>
      </c>
      <c r="B11" s="2" t="s">
        <v>33</v>
      </c>
      <c r="C11" s="2" t="s">
        <v>18</v>
      </c>
      <c r="D11" s="4">
        <v>44939</v>
      </c>
      <c r="E11" s="1">
        <v>0.64583333333333337</v>
      </c>
      <c r="F11" s="2" t="s">
        <v>3</v>
      </c>
      <c r="G11" s="2" t="s">
        <v>34</v>
      </c>
    </row>
    <row r="12" spans="1:7" x14ac:dyDescent="0.3">
      <c r="A12" s="2" t="s">
        <v>35</v>
      </c>
      <c r="B12" s="2" t="s">
        <v>36</v>
      </c>
      <c r="C12" s="2" t="s">
        <v>25</v>
      </c>
      <c r="D12" s="4">
        <v>45242</v>
      </c>
      <c r="E12" s="1">
        <v>0.66666666666666663</v>
      </c>
      <c r="F12" s="2" t="s">
        <v>22</v>
      </c>
      <c r="G12" s="2" t="s">
        <v>8</v>
      </c>
    </row>
    <row r="13" spans="1:7" x14ac:dyDescent="0.3">
      <c r="A13" s="2" t="s">
        <v>37</v>
      </c>
      <c r="B13" s="2" t="s">
        <v>38</v>
      </c>
      <c r="C13" s="2" t="s">
        <v>18</v>
      </c>
      <c r="D13" s="4">
        <v>45053</v>
      </c>
      <c r="E13" s="1">
        <v>0.41666666666666669</v>
      </c>
      <c r="F13" s="2" t="s">
        <v>31</v>
      </c>
      <c r="G13" s="2" t="s">
        <v>34</v>
      </c>
    </row>
    <row r="14" spans="1:7" x14ac:dyDescent="0.3">
      <c r="A14" s="2" t="s">
        <v>39</v>
      </c>
      <c r="B14" s="2" t="s">
        <v>40</v>
      </c>
      <c r="C14" s="2" t="s">
        <v>41</v>
      </c>
      <c r="D14" s="4">
        <v>45154</v>
      </c>
      <c r="E14" s="1">
        <v>0.5</v>
      </c>
      <c r="F14" s="2" t="s">
        <v>19</v>
      </c>
      <c r="G14" s="2" t="s">
        <v>4</v>
      </c>
    </row>
    <row r="15" spans="1:7" x14ac:dyDescent="0.3">
      <c r="A15" s="2" t="s">
        <v>42</v>
      </c>
      <c r="B15" s="2" t="s">
        <v>43</v>
      </c>
      <c r="C15" s="2" t="s">
        <v>28</v>
      </c>
      <c r="D15" s="4">
        <v>45071</v>
      </c>
      <c r="E15" s="1">
        <v>0.4375</v>
      </c>
      <c r="F15" s="2" t="s">
        <v>19</v>
      </c>
      <c r="G15" s="2" t="s">
        <v>12</v>
      </c>
    </row>
    <row r="16" spans="1:7" x14ac:dyDescent="0.3">
      <c r="A16" s="2" t="s">
        <v>44</v>
      </c>
      <c r="B16" s="2" t="s">
        <v>45</v>
      </c>
      <c r="C16" s="2" t="s">
        <v>7</v>
      </c>
      <c r="D16" s="4">
        <v>44941</v>
      </c>
      <c r="E16" s="1">
        <v>0.71875</v>
      </c>
      <c r="F16" s="2" t="s">
        <v>11</v>
      </c>
      <c r="G16" s="2" t="s">
        <v>8</v>
      </c>
    </row>
    <row r="17" spans="1:7" x14ac:dyDescent="0.3">
      <c r="A17" s="2" t="s">
        <v>46</v>
      </c>
      <c r="B17" s="2" t="s">
        <v>27</v>
      </c>
      <c r="C17" s="2" t="s">
        <v>47</v>
      </c>
      <c r="D17" s="4">
        <v>45107</v>
      </c>
      <c r="E17" s="1">
        <v>0.45833333333333331</v>
      </c>
      <c r="F17" s="2" t="s">
        <v>11</v>
      </c>
      <c r="G17" s="2" t="s">
        <v>4</v>
      </c>
    </row>
    <row r="18" spans="1:7" x14ac:dyDescent="0.3">
      <c r="A18" s="2" t="s">
        <v>48</v>
      </c>
      <c r="B18" s="2" t="s">
        <v>49</v>
      </c>
      <c r="C18" s="2" t="s">
        <v>2</v>
      </c>
      <c r="D18" s="4">
        <v>45118</v>
      </c>
      <c r="E18" s="1">
        <v>0.70833333333333337</v>
      </c>
      <c r="F18" s="2" t="s">
        <v>19</v>
      </c>
      <c r="G18" s="2" t="s">
        <v>4</v>
      </c>
    </row>
    <row r="19" spans="1:7" x14ac:dyDescent="0.3">
      <c r="A19" s="2" t="s">
        <v>50</v>
      </c>
      <c r="B19" s="2" t="s">
        <v>36</v>
      </c>
      <c r="C19" s="2" t="s">
        <v>25</v>
      </c>
      <c r="D19" s="4">
        <v>45244</v>
      </c>
      <c r="E19" s="1">
        <v>0.40625</v>
      </c>
      <c r="F19" s="2" t="s">
        <v>11</v>
      </c>
      <c r="G19" s="2" t="s">
        <v>12</v>
      </c>
    </row>
    <row r="20" spans="1:7" x14ac:dyDescent="0.3">
      <c r="A20" s="2" t="s">
        <v>51</v>
      </c>
      <c r="B20" s="2" t="s">
        <v>38</v>
      </c>
      <c r="C20" s="2" t="s">
        <v>52</v>
      </c>
      <c r="D20" s="4">
        <v>44963</v>
      </c>
      <c r="E20" s="1">
        <v>0.64583333333333337</v>
      </c>
      <c r="F20" s="2" t="s">
        <v>22</v>
      </c>
      <c r="G20" s="2" t="s">
        <v>12</v>
      </c>
    </row>
    <row r="21" spans="1:7" x14ac:dyDescent="0.3">
      <c r="A21" s="2" t="s">
        <v>53</v>
      </c>
      <c r="B21" s="2" t="s">
        <v>54</v>
      </c>
      <c r="C21" s="2" t="s">
        <v>18</v>
      </c>
      <c r="D21" s="4">
        <v>45265</v>
      </c>
      <c r="E21" s="1">
        <v>0.63541666666666663</v>
      </c>
      <c r="F21" s="2" t="s">
        <v>11</v>
      </c>
      <c r="G21" s="2" t="s">
        <v>34</v>
      </c>
    </row>
    <row r="22" spans="1:7" x14ac:dyDescent="0.3">
      <c r="A22" s="2" t="s">
        <v>55</v>
      </c>
      <c r="B22" s="2" t="s">
        <v>56</v>
      </c>
      <c r="C22" s="2" t="s">
        <v>2</v>
      </c>
      <c r="D22" s="4">
        <v>45040</v>
      </c>
      <c r="E22" s="1">
        <v>0.41666666666666669</v>
      </c>
      <c r="F22" s="2" t="s">
        <v>3</v>
      </c>
      <c r="G22" s="2" t="s">
        <v>8</v>
      </c>
    </row>
    <row r="23" spans="1:7" x14ac:dyDescent="0.3">
      <c r="A23" s="2" t="s">
        <v>57</v>
      </c>
      <c r="B23" s="2" t="s">
        <v>33</v>
      </c>
      <c r="C23" s="2" t="s">
        <v>52</v>
      </c>
      <c r="D23" s="4">
        <v>45244</v>
      </c>
      <c r="E23" s="1">
        <v>0.54166666666666663</v>
      </c>
      <c r="F23" s="2" t="s">
        <v>11</v>
      </c>
      <c r="G23" s="2" t="s">
        <v>8</v>
      </c>
    </row>
    <row r="24" spans="1:7" x14ac:dyDescent="0.3">
      <c r="A24" s="2" t="s">
        <v>58</v>
      </c>
      <c r="B24" s="2" t="s">
        <v>59</v>
      </c>
      <c r="C24" s="2" t="s">
        <v>2</v>
      </c>
      <c r="D24" s="4">
        <v>45055</v>
      </c>
      <c r="E24" s="1">
        <v>0.60416666666666663</v>
      </c>
      <c r="F24" s="2" t="s">
        <v>31</v>
      </c>
      <c r="G24" s="2" t="s">
        <v>12</v>
      </c>
    </row>
    <row r="25" spans="1:7" x14ac:dyDescent="0.3">
      <c r="A25" s="2" t="s">
        <v>60</v>
      </c>
      <c r="B25" s="2" t="s">
        <v>61</v>
      </c>
      <c r="C25" s="2" t="s">
        <v>47</v>
      </c>
      <c r="D25" s="4">
        <v>45098</v>
      </c>
      <c r="E25" s="1">
        <v>0.33333333333333331</v>
      </c>
      <c r="F25" s="2" t="s">
        <v>22</v>
      </c>
      <c r="G25" s="2" t="s">
        <v>34</v>
      </c>
    </row>
    <row r="26" spans="1:7" x14ac:dyDescent="0.3">
      <c r="A26" s="2" t="s">
        <v>62</v>
      </c>
      <c r="B26" s="2" t="s">
        <v>63</v>
      </c>
      <c r="C26" s="2" t="s">
        <v>52</v>
      </c>
      <c r="D26" s="4">
        <v>44982</v>
      </c>
      <c r="E26" s="1">
        <v>0.33333333333333331</v>
      </c>
      <c r="F26" s="2" t="s">
        <v>31</v>
      </c>
      <c r="G26" s="2" t="s">
        <v>8</v>
      </c>
    </row>
    <row r="27" spans="1:7" x14ac:dyDescent="0.3">
      <c r="A27" s="2" t="s">
        <v>64</v>
      </c>
      <c r="B27" s="2" t="s">
        <v>65</v>
      </c>
      <c r="C27" s="2" t="s">
        <v>15</v>
      </c>
      <c r="D27" s="4">
        <v>45002</v>
      </c>
      <c r="E27" s="1">
        <v>0.59375</v>
      </c>
      <c r="F27" s="2" t="s">
        <v>31</v>
      </c>
      <c r="G27" s="2" t="s">
        <v>12</v>
      </c>
    </row>
    <row r="28" spans="1:7" x14ac:dyDescent="0.3">
      <c r="A28" s="2" t="s">
        <v>66</v>
      </c>
      <c r="B28" s="2" t="s">
        <v>33</v>
      </c>
      <c r="C28" s="2" t="s">
        <v>67</v>
      </c>
      <c r="D28" s="4">
        <v>45244</v>
      </c>
      <c r="E28" s="1">
        <v>0.53125</v>
      </c>
      <c r="F28" s="2" t="s">
        <v>3</v>
      </c>
      <c r="G28" s="2" t="s">
        <v>4</v>
      </c>
    </row>
    <row r="29" spans="1:7" x14ac:dyDescent="0.3">
      <c r="A29" s="2" t="s">
        <v>68</v>
      </c>
      <c r="B29" s="2" t="s">
        <v>43</v>
      </c>
      <c r="C29" s="2" t="s">
        <v>15</v>
      </c>
      <c r="D29" s="4">
        <v>45228</v>
      </c>
      <c r="E29" s="1">
        <v>0.64583333333333337</v>
      </c>
      <c r="F29" s="2" t="s">
        <v>22</v>
      </c>
      <c r="G29" s="2" t="s">
        <v>8</v>
      </c>
    </row>
    <row r="30" spans="1:7" x14ac:dyDescent="0.3">
      <c r="A30" s="2" t="s">
        <v>69</v>
      </c>
      <c r="B30" s="2" t="s">
        <v>27</v>
      </c>
      <c r="C30" s="2" t="s">
        <v>28</v>
      </c>
      <c r="D30" s="4">
        <v>45102</v>
      </c>
      <c r="E30" s="1">
        <v>0.60416666666666663</v>
      </c>
      <c r="F30" s="2" t="s">
        <v>22</v>
      </c>
      <c r="G30" s="2" t="s">
        <v>34</v>
      </c>
    </row>
    <row r="31" spans="1:7" x14ac:dyDescent="0.3">
      <c r="A31" s="2" t="s">
        <v>70</v>
      </c>
      <c r="B31" s="2" t="s">
        <v>45</v>
      </c>
      <c r="C31" s="2" t="s">
        <v>67</v>
      </c>
      <c r="D31" s="4">
        <v>45167</v>
      </c>
      <c r="E31" s="1">
        <v>0.55208333333333337</v>
      </c>
      <c r="F31" s="2" t="s">
        <v>22</v>
      </c>
      <c r="G31" s="2" t="s">
        <v>34</v>
      </c>
    </row>
    <row r="32" spans="1:7" x14ac:dyDescent="0.3">
      <c r="A32" s="2" t="s">
        <v>71</v>
      </c>
      <c r="B32" s="2" t="s">
        <v>45</v>
      </c>
      <c r="C32" s="2" t="s">
        <v>15</v>
      </c>
      <c r="D32" s="4">
        <v>45020</v>
      </c>
      <c r="E32" s="1">
        <v>0.4375</v>
      </c>
      <c r="F32" s="2" t="s">
        <v>22</v>
      </c>
      <c r="G32" s="2" t="s">
        <v>34</v>
      </c>
    </row>
    <row r="33" spans="1:7" x14ac:dyDescent="0.3">
      <c r="A33" s="2" t="s">
        <v>72</v>
      </c>
      <c r="B33" s="2" t="s">
        <v>10</v>
      </c>
      <c r="C33" s="2" t="s">
        <v>67</v>
      </c>
      <c r="D33" s="4">
        <v>45236</v>
      </c>
      <c r="E33" s="1">
        <v>0.44791666666666669</v>
      </c>
      <c r="F33" s="2" t="s">
        <v>22</v>
      </c>
      <c r="G33" s="2" t="s">
        <v>4</v>
      </c>
    </row>
    <row r="34" spans="1:7" x14ac:dyDescent="0.3">
      <c r="A34" s="2" t="s">
        <v>73</v>
      </c>
      <c r="B34" s="2" t="s">
        <v>74</v>
      </c>
      <c r="C34" s="2" t="s">
        <v>67</v>
      </c>
      <c r="D34" s="4">
        <v>45192</v>
      </c>
      <c r="E34" s="1">
        <v>0.73958333333333337</v>
      </c>
      <c r="F34" s="2" t="s">
        <v>3</v>
      </c>
      <c r="G34" s="2" t="s">
        <v>8</v>
      </c>
    </row>
    <row r="35" spans="1:7" x14ac:dyDescent="0.3">
      <c r="A35" s="2" t="s">
        <v>75</v>
      </c>
      <c r="B35" s="2" t="s">
        <v>30</v>
      </c>
      <c r="C35" s="2" t="s">
        <v>7</v>
      </c>
      <c r="D35" s="4">
        <v>45090</v>
      </c>
      <c r="E35" s="1">
        <v>0.47916666666666669</v>
      </c>
      <c r="F35" s="2" t="s">
        <v>11</v>
      </c>
      <c r="G35" s="2" t="s">
        <v>8</v>
      </c>
    </row>
    <row r="36" spans="1:7" x14ac:dyDescent="0.3">
      <c r="A36" s="2" t="s">
        <v>76</v>
      </c>
      <c r="B36" s="2" t="s">
        <v>77</v>
      </c>
      <c r="C36" s="2" t="s">
        <v>18</v>
      </c>
      <c r="D36" s="4">
        <v>45034</v>
      </c>
      <c r="E36" s="1">
        <v>0.36458333333333331</v>
      </c>
      <c r="F36" s="2" t="s">
        <v>31</v>
      </c>
      <c r="G36" s="2" t="s">
        <v>4</v>
      </c>
    </row>
    <row r="37" spans="1:7" x14ac:dyDescent="0.3">
      <c r="A37" s="2" t="s">
        <v>78</v>
      </c>
      <c r="B37" s="2" t="s">
        <v>79</v>
      </c>
      <c r="C37" s="2" t="s">
        <v>18</v>
      </c>
      <c r="D37" s="4">
        <v>44934</v>
      </c>
      <c r="E37" s="1">
        <v>0.60416666666666663</v>
      </c>
      <c r="F37" s="2" t="s">
        <v>22</v>
      </c>
      <c r="G37" s="2" t="s">
        <v>8</v>
      </c>
    </row>
    <row r="38" spans="1:7" x14ac:dyDescent="0.3">
      <c r="A38" s="2" t="s">
        <v>80</v>
      </c>
      <c r="B38" s="2" t="s">
        <v>63</v>
      </c>
      <c r="C38" s="2" t="s">
        <v>7</v>
      </c>
      <c r="D38" s="4">
        <v>45013</v>
      </c>
      <c r="E38" s="1">
        <v>0.45833333333333331</v>
      </c>
      <c r="F38" s="2" t="s">
        <v>11</v>
      </c>
      <c r="G38" s="2" t="s">
        <v>4</v>
      </c>
    </row>
    <row r="39" spans="1:7" x14ac:dyDescent="0.3">
      <c r="A39" s="2" t="s">
        <v>81</v>
      </c>
      <c r="B39" s="2" t="s">
        <v>49</v>
      </c>
      <c r="C39" s="2" t="s">
        <v>2</v>
      </c>
      <c r="D39" s="4">
        <v>44980</v>
      </c>
      <c r="E39" s="1">
        <v>0.54166666666666663</v>
      </c>
      <c r="F39" s="2" t="s">
        <v>11</v>
      </c>
      <c r="G39" s="2" t="s">
        <v>4</v>
      </c>
    </row>
    <row r="40" spans="1:7" x14ac:dyDescent="0.3">
      <c r="A40" s="2" t="s">
        <v>82</v>
      </c>
      <c r="B40" s="2" t="s">
        <v>83</v>
      </c>
      <c r="C40" s="2" t="s">
        <v>41</v>
      </c>
      <c r="D40" s="4">
        <v>45033</v>
      </c>
      <c r="E40" s="1">
        <v>0.33333333333333331</v>
      </c>
      <c r="F40" s="2" t="s">
        <v>31</v>
      </c>
      <c r="G40" s="2" t="s">
        <v>4</v>
      </c>
    </row>
    <row r="41" spans="1:7" x14ac:dyDescent="0.3">
      <c r="A41" s="2" t="s">
        <v>84</v>
      </c>
      <c r="B41" s="2" t="s">
        <v>85</v>
      </c>
      <c r="C41" s="2" t="s">
        <v>2</v>
      </c>
      <c r="D41" s="4">
        <v>45012</v>
      </c>
      <c r="E41" s="1">
        <v>0.52083333333333337</v>
      </c>
      <c r="F41" s="2" t="s">
        <v>3</v>
      </c>
      <c r="G41" s="2" t="s">
        <v>34</v>
      </c>
    </row>
    <row r="42" spans="1:7" x14ac:dyDescent="0.3">
      <c r="A42" s="2" t="s">
        <v>86</v>
      </c>
      <c r="B42" s="2" t="s">
        <v>33</v>
      </c>
      <c r="C42" s="2" t="s">
        <v>52</v>
      </c>
      <c r="D42" s="4">
        <v>44927</v>
      </c>
      <c r="E42" s="1">
        <v>0.58333333333333337</v>
      </c>
      <c r="F42" s="2" t="s">
        <v>19</v>
      </c>
      <c r="G42" s="2" t="s">
        <v>8</v>
      </c>
    </row>
    <row r="43" spans="1:7" x14ac:dyDescent="0.3">
      <c r="A43" s="2" t="s">
        <v>87</v>
      </c>
      <c r="B43" s="2" t="s">
        <v>77</v>
      </c>
      <c r="C43" s="2" t="s">
        <v>52</v>
      </c>
      <c r="D43" s="4">
        <v>45006</v>
      </c>
      <c r="E43" s="1">
        <v>0.46875</v>
      </c>
      <c r="F43" s="2" t="s">
        <v>19</v>
      </c>
      <c r="G43" s="2" t="s">
        <v>4</v>
      </c>
    </row>
    <row r="44" spans="1:7" x14ac:dyDescent="0.3">
      <c r="A44" s="2" t="s">
        <v>88</v>
      </c>
      <c r="B44" s="2" t="s">
        <v>1</v>
      </c>
      <c r="C44" s="2" t="s">
        <v>67</v>
      </c>
      <c r="D44" s="4">
        <v>45014</v>
      </c>
      <c r="E44" s="1">
        <v>0.38541666666666669</v>
      </c>
      <c r="F44" s="2" t="s">
        <v>11</v>
      </c>
      <c r="G44" s="2" t="s">
        <v>8</v>
      </c>
    </row>
    <row r="45" spans="1:7" x14ac:dyDescent="0.3">
      <c r="A45" s="2" t="s">
        <v>89</v>
      </c>
      <c r="B45" s="2" t="s">
        <v>90</v>
      </c>
      <c r="C45" s="2" t="s">
        <v>15</v>
      </c>
      <c r="D45" s="4">
        <v>45189</v>
      </c>
      <c r="E45" s="1">
        <v>0.52083333333333337</v>
      </c>
      <c r="F45" s="2" t="s">
        <v>31</v>
      </c>
      <c r="G45" s="2" t="s">
        <v>34</v>
      </c>
    </row>
    <row r="46" spans="1:7" x14ac:dyDescent="0.3">
      <c r="A46" s="2" t="s">
        <v>91</v>
      </c>
      <c r="B46" s="2" t="s">
        <v>85</v>
      </c>
      <c r="C46" s="2" t="s">
        <v>15</v>
      </c>
      <c r="D46" s="4">
        <v>45197</v>
      </c>
      <c r="E46" s="1">
        <v>0.70833333333333337</v>
      </c>
      <c r="F46" s="2" t="s">
        <v>19</v>
      </c>
      <c r="G46" s="2" t="s">
        <v>4</v>
      </c>
    </row>
    <row r="47" spans="1:7" x14ac:dyDescent="0.3">
      <c r="A47" s="2" t="s">
        <v>92</v>
      </c>
      <c r="B47" s="2" t="s">
        <v>93</v>
      </c>
      <c r="C47" s="2" t="s">
        <v>18</v>
      </c>
      <c r="D47" s="4">
        <v>45280</v>
      </c>
      <c r="E47" s="1">
        <v>0.55208333333333337</v>
      </c>
      <c r="F47" s="2" t="s">
        <v>11</v>
      </c>
      <c r="G47" s="2" t="s">
        <v>12</v>
      </c>
    </row>
    <row r="48" spans="1:7" x14ac:dyDescent="0.3">
      <c r="A48" s="2" t="s">
        <v>94</v>
      </c>
      <c r="B48" s="2" t="s">
        <v>6</v>
      </c>
      <c r="C48" s="2" t="s">
        <v>25</v>
      </c>
      <c r="D48" s="4">
        <v>45048</v>
      </c>
      <c r="E48" s="1">
        <v>0.45833333333333331</v>
      </c>
      <c r="F48" s="2" t="s">
        <v>3</v>
      </c>
      <c r="G48" s="2" t="s">
        <v>34</v>
      </c>
    </row>
    <row r="49" spans="1:7" x14ac:dyDescent="0.3">
      <c r="A49" s="2" t="s">
        <v>95</v>
      </c>
      <c r="B49" s="2" t="s">
        <v>24</v>
      </c>
      <c r="C49" s="2" t="s">
        <v>2</v>
      </c>
      <c r="D49" s="4">
        <v>44942</v>
      </c>
      <c r="E49" s="1">
        <v>0.65625</v>
      </c>
      <c r="F49" s="2" t="s">
        <v>19</v>
      </c>
      <c r="G49" s="2" t="s">
        <v>12</v>
      </c>
    </row>
    <row r="50" spans="1:7" x14ac:dyDescent="0.3">
      <c r="A50" s="2" t="s">
        <v>96</v>
      </c>
      <c r="B50" s="2" t="s">
        <v>33</v>
      </c>
      <c r="C50" s="2" t="s">
        <v>28</v>
      </c>
      <c r="D50" s="4">
        <v>45046</v>
      </c>
      <c r="E50" s="1">
        <v>0.64583333333333337</v>
      </c>
      <c r="F50" s="2" t="s">
        <v>11</v>
      </c>
      <c r="G50" s="2" t="s">
        <v>8</v>
      </c>
    </row>
    <row r="51" spans="1:7" x14ac:dyDescent="0.3">
      <c r="A51" s="2" t="s">
        <v>97</v>
      </c>
      <c r="B51" s="2" t="s">
        <v>21</v>
      </c>
      <c r="C51" s="2" t="s">
        <v>47</v>
      </c>
      <c r="D51" s="4">
        <v>45154</v>
      </c>
      <c r="E51" s="1">
        <v>0.625</v>
      </c>
      <c r="F51" s="2" t="s">
        <v>11</v>
      </c>
      <c r="G51" s="2" t="s">
        <v>8</v>
      </c>
    </row>
    <row r="52" spans="1:7" x14ac:dyDescent="0.3">
      <c r="A52" s="2" t="s">
        <v>98</v>
      </c>
      <c r="B52" s="2" t="s">
        <v>99</v>
      </c>
      <c r="C52" s="2" t="s">
        <v>15</v>
      </c>
      <c r="D52" s="4">
        <v>44961</v>
      </c>
      <c r="E52" s="1">
        <v>0.48958333333333331</v>
      </c>
      <c r="F52" s="2" t="s">
        <v>22</v>
      </c>
      <c r="G52" s="2" t="s">
        <v>34</v>
      </c>
    </row>
    <row r="53" spans="1:7" x14ac:dyDescent="0.3">
      <c r="A53" s="2" t="s">
        <v>100</v>
      </c>
      <c r="B53" s="2" t="s">
        <v>27</v>
      </c>
      <c r="C53" s="2" t="s">
        <v>47</v>
      </c>
      <c r="D53" s="4">
        <v>45119</v>
      </c>
      <c r="E53" s="1">
        <v>0.39583333333333331</v>
      </c>
      <c r="F53" s="2" t="s">
        <v>3</v>
      </c>
      <c r="G53" s="2" t="s">
        <v>8</v>
      </c>
    </row>
    <row r="54" spans="1:7" x14ac:dyDescent="0.3">
      <c r="A54" s="2" t="s">
        <v>101</v>
      </c>
      <c r="B54" s="2" t="s">
        <v>102</v>
      </c>
      <c r="C54" s="2" t="s">
        <v>67</v>
      </c>
      <c r="D54" s="4">
        <v>44969</v>
      </c>
      <c r="E54" s="1">
        <v>0.4375</v>
      </c>
      <c r="F54" s="2" t="s">
        <v>22</v>
      </c>
      <c r="G54" s="2" t="s">
        <v>12</v>
      </c>
    </row>
    <row r="55" spans="1:7" x14ac:dyDescent="0.3">
      <c r="A55" s="2" t="s">
        <v>103</v>
      </c>
      <c r="B55" s="2" t="s">
        <v>27</v>
      </c>
      <c r="C55" s="2" t="s">
        <v>47</v>
      </c>
      <c r="D55" s="4">
        <v>45276</v>
      </c>
      <c r="E55" s="1">
        <v>0.48958333333333331</v>
      </c>
      <c r="F55" s="2" t="s">
        <v>31</v>
      </c>
      <c r="G55" s="2" t="s">
        <v>4</v>
      </c>
    </row>
    <row r="56" spans="1:7" x14ac:dyDescent="0.3">
      <c r="A56" s="2" t="s">
        <v>104</v>
      </c>
      <c r="B56" s="2" t="s">
        <v>105</v>
      </c>
      <c r="C56" s="2" t="s">
        <v>28</v>
      </c>
      <c r="D56" s="4">
        <v>45205</v>
      </c>
      <c r="E56" s="1">
        <v>0.72916666666666663</v>
      </c>
      <c r="F56" s="2" t="s">
        <v>22</v>
      </c>
      <c r="G56" s="2" t="s">
        <v>4</v>
      </c>
    </row>
    <row r="57" spans="1:7" x14ac:dyDescent="0.3">
      <c r="A57" s="2" t="s">
        <v>106</v>
      </c>
      <c r="B57" s="2" t="s">
        <v>61</v>
      </c>
      <c r="C57" s="2" t="s">
        <v>7</v>
      </c>
      <c r="D57" s="4">
        <v>44928</v>
      </c>
      <c r="E57" s="1">
        <v>0.53125</v>
      </c>
      <c r="F57" s="2" t="s">
        <v>22</v>
      </c>
      <c r="G57" s="2" t="s">
        <v>4</v>
      </c>
    </row>
    <row r="58" spans="1:7" x14ac:dyDescent="0.3">
      <c r="A58" s="2" t="s">
        <v>107</v>
      </c>
      <c r="B58" s="2" t="s">
        <v>56</v>
      </c>
      <c r="C58" s="2" t="s">
        <v>28</v>
      </c>
      <c r="D58" s="4">
        <v>45031</v>
      </c>
      <c r="E58" s="1">
        <v>0.73958333333333337</v>
      </c>
      <c r="F58" s="2" t="s">
        <v>19</v>
      </c>
      <c r="G58" s="2" t="s">
        <v>34</v>
      </c>
    </row>
    <row r="59" spans="1:7" x14ac:dyDescent="0.3">
      <c r="A59" s="2" t="s">
        <v>108</v>
      </c>
      <c r="B59" s="2" t="s">
        <v>6</v>
      </c>
      <c r="C59" s="2" t="s">
        <v>47</v>
      </c>
      <c r="D59" s="4">
        <v>45055</v>
      </c>
      <c r="E59" s="1">
        <v>0.55208333333333337</v>
      </c>
      <c r="F59" s="2" t="s">
        <v>11</v>
      </c>
      <c r="G59" s="2" t="s">
        <v>8</v>
      </c>
    </row>
    <row r="60" spans="1:7" x14ac:dyDescent="0.3">
      <c r="A60" s="2" t="s">
        <v>109</v>
      </c>
      <c r="B60" s="2" t="s">
        <v>110</v>
      </c>
      <c r="C60" s="2" t="s">
        <v>28</v>
      </c>
      <c r="D60" s="4">
        <v>44994</v>
      </c>
      <c r="E60" s="1">
        <v>0.64583333333333337</v>
      </c>
      <c r="F60" s="2" t="s">
        <v>3</v>
      </c>
      <c r="G60" s="2" t="s">
        <v>12</v>
      </c>
    </row>
    <row r="61" spans="1:7" x14ac:dyDescent="0.3">
      <c r="A61" s="2" t="s">
        <v>111</v>
      </c>
      <c r="B61" s="2" t="s">
        <v>112</v>
      </c>
      <c r="C61" s="2" t="s">
        <v>41</v>
      </c>
      <c r="D61" s="4">
        <v>45252</v>
      </c>
      <c r="E61" s="1">
        <v>0.71875</v>
      </c>
      <c r="F61" s="2" t="s">
        <v>22</v>
      </c>
      <c r="G61" s="2" t="s">
        <v>8</v>
      </c>
    </row>
    <row r="62" spans="1:7" x14ac:dyDescent="0.3">
      <c r="A62" s="2" t="s">
        <v>113</v>
      </c>
      <c r="B62" s="2" t="s">
        <v>102</v>
      </c>
      <c r="C62" s="2" t="s">
        <v>67</v>
      </c>
      <c r="D62" s="4">
        <v>44941</v>
      </c>
      <c r="E62" s="1">
        <v>0.70833333333333337</v>
      </c>
      <c r="F62" s="2" t="s">
        <v>3</v>
      </c>
      <c r="G62" s="2" t="s">
        <v>8</v>
      </c>
    </row>
    <row r="63" spans="1:7" x14ac:dyDescent="0.3">
      <c r="A63" s="2" t="s">
        <v>114</v>
      </c>
      <c r="B63" s="2" t="s">
        <v>43</v>
      </c>
      <c r="C63" s="2" t="s">
        <v>2</v>
      </c>
      <c r="D63" s="4">
        <v>45091</v>
      </c>
      <c r="E63" s="1">
        <v>0.63541666666666663</v>
      </c>
      <c r="F63" s="2" t="s">
        <v>22</v>
      </c>
      <c r="G63" s="2" t="s">
        <v>8</v>
      </c>
    </row>
    <row r="64" spans="1:7" x14ac:dyDescent="0.3">
      <c r="A64" s="2" t="s">
        <v>115</v>
      </c>
      <c r="B64" s="2" t="s">
        <v>116</v>
      </c>
      <c r="C64" s="2" t="s">
        <v>7</v>
      </c>
      <c r="D64" s="4">
        <v>45106</v>
      </c>
      <c r="E64" s="1">
        <v>0.375</v>
      </c>
      <c r="F64" s="2" t="s">
        <v>31</v>
      </c>
      <c r="G64" s="2" t="s">
        <v>4</v>
      </c>
    </row>
    <row r="65" spans="1:7" x14ac:dyDescent="0.3">
      <c r="A65" s="2" t="s">
        <v>117</v>
      </c>
      <c r="B65" s="2" t="s">
        <v>118</v>
      </c>
      <c r="C65" s="2" t="s">
        <v>15</v>
      </c>
      <c r="D65" s="4">
        <v>45077</v>
      </c>
      <c r="E65" s="1">
        <v>0.35416666666666669</v>
      </c>
      <c r="F65" s="2" t="s">
        <v>22</v>
      </c>
      <c r="G65" s="2" t="s">
        <v>12</v>
      </c>
    </row>
    <row r="66" spans="1:7" x14ac:dyDescent="0.3">
      <c r="A66" s="2" t="s">
        <v>119</v>
      </c>
      <c r="B66" s="2" t="s">
        <v>79</v>
      </c>
      <c r="C66" s="2" t="s">
        <v>52</v>
      </c>
      <c r="D66" s="4">
        <v>45040</v>
      </c>
      <c r="E66" s="1">
        <v>0.65625</v>
      </c>
      <c r="F66" s="2" t="s">
        <v>19</v>
      </c>
      <c r="G66" s="2" t="s">
        <v>12</v>
      </c>
    </row>
    <row r="67" spans="1:7" x14ac:dyDescent="0.3">
      <c r="A67" s="2" t="s">
        <v>120</v>
      </c>
      <c r="B67" s="2" t="s">
        <v>79</v>
      </c>
      <c r="C67" s="2" t="s">
        <v>2</v>
      </c>
      <c r="D67" s="4">
        <v>45056</v>
      </c>
      <c r="E67" s="1">
        <v>0.48958333333333331</v>
      </c>
      <c r="F67" s="2" t="s">
        <v>11</v>
      </c>
      <c r="G67" s="2" t="s">
        <v>8</v>
      </c>
    </row>
    <row r="68" spans="1:7" x14ac:dyDescent="0.3">
      <c r="A68" s="2" t="s">
        <v>121</v>
      </c>
      <c r="B68" s="2" t="s">
        <v>122</v>
      </c>
      <c r="C68" s="2" t="s">
        <v>52</v>
      </c>
      <c r="D68" s="4">
        <v>45148</v>
      </c>
      <c r="E68" s="1">
        <v>0.45833333333333331</v>
      </c>
      <c r="F68" s="2" t="s">
        <v>31</v>
      </c>
      <c r="G68" s="2" t="s">
        <v>4</v>
      </c>
    </row>
    <row r="69" spans="1:7" x14ac:dyDescent="0.3">
      <c r="A69" s="2" t="s">
        <v>123</v>
      </c>
      <c r="B69" s="2" t="s">
        <v>49</v>
      </c>
      <c r="C69" s="2" t="s">
        <v>67</v>
      </c>
      <c r="D69" s="4">
        <v>44999</v>
      </c>
      <c r="E69" s="1">
        <v>0.625</v>
      </c>
      <c r="F69" s="2" t="s">
        <v>22</v>
      </c>
      <c r="G69" s="2" t="s">
        <v>4</v>
      </c>
    </row>
    <row r="70" spans="1:7" x14ac:dyDescent="0.3">
      <c r="A70" s="2" t="s">
        <v>124</v>
      </c>
      <c r="B70" s="2" t="s">
        <v>43</v>
      </c>
      <c r="C70" s="2" t="s">
        <v>7</v>
      </c>
      <c r="D70" s="4">
        <v>45014</v>
      </c>
      <c r="E70" s="1">
        <v>0.64583333333333337</v>
      </c>
      <c r="F70" s="2" t="s">
        <v>3</v>
      </c>
      <c r="G70" s="2" t="s">
        <v>12</v>
      </c>
    </row>
    <row r="71" spans="1:7" x14ac:dyDescent="0.3">
      <c r="A71" s="2" t="s">
        <v>125</v>
      </c>
      <c r="B71" s="2" t="s">
        <v>40</v>
      </c>
      <c r="C71" s="2" t="s">
        <v>18</v>
      </c>
      <c r="D71" s="4">
        <v>45164</v>
      </c>
      <c r="E71" s="1">
        <v>0.70833333333333337</v>
      </c>
      <c r="F71" s="2" t="s">
        <v>31</v>
      </c>
      <c r="G71" s="2" t="s">
        <v>4</v>
      </c>
    </row>
    <row r="72" spans="1:7" x14ac:dyDescent="0.3">
      <c r="A72" s="2" t="s">
        <v>126</v>
      </c>
      <c r="B72" s="2" t="s">
        <v>24</v>
      </c>
      <c r="C72" s="2" t="s">
        <v>15</v>
      </c>
      <c r="D72" s="4">
        <v>44952</v>
      </c>
      <c r="E72" s="1">
        <v>0.70833333333333337</v>
      </c>
      <c r="F72" s="2" t="s">
        <v>31</v>
      </c>
      <c r="G72" s="2" t="s">
        <v>4</v>
      </c>
    </row>
    <row r="73" spans="1:7" x14ac:dyDescent="0.3">
      <c r="A73" s="2" t="s">
        <v>127</v>
      </c>
      <c r="B73" s="2" t="s">
        <v>79</v>
      </c>
      <c r="C73" s="2" t="s">
        <v>41</v>
      </c>
      <c r="D73" s="4">
        <v>45089</v>
      </c>
      <c r="E73" s="1">
        <v>0.5625</v>
      </c>
      <c r="F73" s="2" t="s">
        <v>22</v>
      </c>
      <c r="G73" s="2" t="s">
        <v>4</v>
      </c>
    </row>
    <row r="74" spans="1:7" x14ac:dyDescent="0.3">
      <c r="A74" s="2" t="s">
        <v>128</v>
      </c>
      <c r="B74" s="2" t="s">
        <v>17</v>
      </c>
      <c r="C74" s="2" t="s">
        <v>18</v>
      </c>
      <c r="D74" s="4">
        <v>45284</v>
      </c>
      <c r="E74" s="1">
        <v>0.625</v>
      </c>
      <c r="F74" s="2" t="s">
        <v>31</v>
      </c>
      <c r="G74" s="2" t="s">
        <v>34</v>
      </c>
    </row>
    <row r="75" spans="1:7" x14ac:dyDescent="0.3">
      <c r="A75" s="2" t="s">
        <v>129</v>
      </c>
      <c r="B75" s="2" t="s">
        <v>85</v>
      </c>
      <c r="C75" s="2" t="s">
        <v>67</v>
      </c>
      <c r="D75" s="4">
        <v>45130</v>
      </c>
      <c r="E75" s="1">
        <v>0.5625</v>
      </c>
      <c r="F75" s="2" t="s">
        <v>3</v>
      </c>
      <c r="G75" s="2" t="s">
        <v>8</v>
      </c>
    </row>
    <row r="76" spans="1:7" x14ac:dyDescent="0.3">
      <c r="A76" s="2" t="s">
        <v>130</v>
      </c>
      <c r="B76" s="2" t="s">
        <v>122</v>
      </c>
      <c r="C76" s="2" t="s">
        <v>2</v>
      </c>
      <c r="D76" s="4">
        <v>45054</v>
      </c>
      <c r="E76" s="1">
        <v>0.58333333333333337</v>
      </c>
      <c r="F76" s="2" t="s">
        <v>31</v>
      </c>
      <c r="G76" s="2" t="s">
        <v>12</v>
      </c>
    </row>
    <row r="77" spans="1:7" x14ac:dyDescent="0.3">
      <c r="A77" s="2" t="s">
        <v>131</v>
      </c>
      <c r="B77" s="2" t="s">
        <v>132</v>
      </c>
      <c r="C77" s="2" t="s">
        <v>41</v>
      </c>
      <c r="D77" s="4">
        <v>45257</v>
      </c>
      <c r="E77" s="1">
        <v>0.5</v>
      </c>
      <c r="F77" s="2" t="s">
        <v>3</v>
      </c>
      <c r="G77" s="2" t="s">
        <v>12</v>
      </c>
    </row>
    <row r="78" spans="1:7" x14ac:dyDescent="0.3">
      <c r="A78" s="2" t="s">
        <v>133</v>
      </c>
      <c r="B78" s="2" t="s">
        <v>38</v>
      </c>
      <c r="C78" s="2" t="s">
        <v>28</v>
      </c>
      <c r="D78" s="4">
        <v>45274</v>
      </c>
      <c r="E78" s="1">
        <v>0.71875</v>
      </c>
      <c r="F78" s="2" t="s">
        <v>22</v>
      </c>
      <c r="G78" s="2" t="s">
        <v>34</v>
      </c>
    </row>
    <row r="79" spans="1:7" x14ac:dyDescent="0.3">
      <c r="A79" s="2" t="s">
        <v>134</v>
      </c>
      <c r="B79" s="2" t="s">
        <v>135</v>
      </c>
      <c r="C79" s="2" t="s">
        <v>47</v>
      </c>
      <c r="D79" s="4">
        <v>45186</v>
      </c>
      <c r="E79" s="1">
        <v>0.46875</v>
      </c>
      <c r="F79" s="2" t="s">
        <v>11</v>
      </c>
      <c r="G79" s="2" t="s">
        <v>8</v>
      </c>
    </row>
    <row r="80" spans="1:7" x14ac:dyDescent="0.3">
      <c r="A80" s="2" t="s">
        <v>136</v>
      </c>
      <c r="B80" s="2" t="s">
        <v>43</v>
      </c>
      <c r="C80" s="2" t="s">
        <v>41</v>
      </c>
      <c r="D80" s="4">
        <v>45286</v>
      </c>
      <c r="E80" s="1">
        <v>0.58333333333333337</v>
      </c>
      <c r="F80" s="2" t="s">
        <v>31</v>
      </c>
      <c r="G80" s="2" t="s">
        <v>12</v>
      </c>
    </row>
    <row r="81" spans="1:7" x14ac:dyDescent="0.3">
      <c r="A81" s="2" t="s">
        <v>137</v>
      </c>
      <c r="B81" s="2" t="s">
        <v>90</v>
      </c>
      <c r="C81" s="2" t="s">
        <v>67</v>
      </c>
      <c r="D81" s="4">
        <v>45103</v>
      </c>
      <c r="E81" s="1">
        <v>0.35416666666666669</v>
      </c>
      <c r="F81" s="2" t="s">
        <v>11</v>
      </c>
      <c r="G81" s="2" t="s">
        <v>4</v>
      </c>
    </row>
    <row r="82" spans="1:7" x14ac:dyDescent="0.3">
      <c r="A82" s="2" t="s">
        <v>138</v>
      </c>
      <c r="B82" s="2" t="s">
        <v>65</v>
      </c>
      <c r="C82" s="2" t="s">
        <v>25</v>
      </c>
      <c r="D82" s="4">
        <v>44932</v>
      </c>
      <c r="E82" s="1">
        <v>0.5625</v>
      </c>
      <c r="F82" s="2" t="s">
        <v>3</v>
      </c>
      <c r="G82" s="2" t="s">
        <v>12</v>
      </c>
    </row>
    <row r="83" spans="1:7" x14ac:dyDescent="0.3">
      <c r="A83" s="2" t="s">
        <v>139</v>
      </c>
      <c r="B83" s="2" t="s">
        <v>105</v>
      </c>
      <c r="C83" s="2" t="s">
        <v>47</v>
      </c>
      <c r="D83" s="4">
        <v>44946</v>
      </c>
      <c r="E83" s="1">
        <v>0.44791666666666669</v>
      </c>
      <c r="F83" s="2" t="s">
        <v>31</v>
      </c>
      <c r="G83" s="2" t="s">
        <v>4</v>
      </c>
    </row>
    <row r="84" spans="1:7" x14ac:dyDescent="0.3">
      <c r="A84" s="2" t="s">
        <v>140</v>
      </c>
      <c r="B84" s="2" t="s">
        <v>116</v>
      </c>
      <c r="C84" s="2" t="s">
        <v>52</v>
      </c>
      <c r="D84" s="4">
        <v>45237</v>
      </c>
      <c r="E84" s="1">
        <v>0.52083333333333337</v>
      </c>
      <c r="F84" s="2" t="s">
        <v>19</v>
      </c>
      <c r="G84" s="2" t="s">
        <v>34</v>
      </c>
    </row>
    <row r="85" spans="1:7" x14ac:dyDescent="0.3">
      <c r="A85" s="2" t="s">
        <v>141</v>
      </c>
      <c r="B85" s="2" t="s">
        <v>118</v>
      </c>
      <c r="C85" s="2" t="s">
        <v>15</v>
      </c>
      <c r="D85" s="4">
        <v>45077</v>
      </c>
      <c r="E85" s="1">
        <v>0.66666666666666663</v>
      </c>
      <c r="F85" s="2" t="s">
        <v>11</v>
      </c>
      <c r="G85" s="2" t="s">
        <v>4</v>
      </c>
    </row>
    <row r="86" spans="1:7" x14ac:dyDescent="0.3">
      <c r="A86" s="2" t="s">
        <v>142</v>
      </c>
      <c r="B86" s="2" t="s">
        <v>83</v>
      </c>
      <c r="C86" s="2" t="s">
        <v>52</v>
      </c>
      <c r="D86" s="4">
        <v>44975</v>
      </c>
      <c r="E86" s="1">
        <v>0.67708333333333337</v>
      </c>
      <c r="F86" s="2" t="s">
        <v>31</v>
      </c>
      <c r="G86" s="2" t="s">
        <v>12</v>
      </c>
    </row>
    <row r="87" spans="1:7" x14ac:dyDescent="0.3">
      <c r="A87" s="2" t="s">
        <v>143</v>
      </c>
      <c r="B87" s="2" t="s">
        <v>144</v>
      </c>
      <c r="C87" s="2" t="s">
        <v>41</v>
      </c>
      <c r="D87" s="4">
        <v>45228</v>
      </c>
      <c r="E87" s="1">
        <v>0.45833333333333331</v>
      </c>
      <c r="F87" s="2" t="s">
        <v>11</v>
      </c>
      <c r="G87" s="2" t="s">
        <v>12</v>
      </c>
    </row>
    <row r="88" spans="1:7" x14ac:dyDescent="0.3">
      <c r="A88" s="2" t="s">
        <v>145</v>
      </c>
      <c r="B88" s="2" t="s">
        <v>45</v>
      </c>
      <c r="C88" s="2" t="s">
        <v>52</v>
      </c>
      <c r="D88" s="4">
        <v>45218</v>
      </c>
      <c r="E88" s="1">
        <v>0.51041666666666663</v>
      </c>
      <c r="F88" s="2" t="s">
        <v>31</v>
      </c>
      <c r="G88" s="2" t="s">
        <v>12</v>
      </c>
    </row>
    <row r="89" spans="1:7" x14ac:dyDescent="0.3">
      <c r="A89" s="2" t="s">
        <v>146</v>
      </c>
      <c r="B89" s="2" t="s">
        <v>147</v>
      </c>
      <c r="C89" s="2" t="s">
        <v>67</v>
      </c>
      <c r="D89" s="4">
        <v>45048</v>
      </c>
      <c r="E89" s="1">
        <v>0.6875</v>
      </c>
      <c r="F89" s="2" t="s">
        <v>22</v>
      </c>
      <c r="G89" s="2" t="s">
        <v>34</v>
      </c>
    </row>
    <row r="90" spans="1:7" x14ac:dyDescent="0.3">
      <c r="A90" s="2" t="s">
        <v>148</v>
      </c>
      <c r="B90" s="2" t="s">
        <v>38</v>
      </c>
      <c r="C90" s="2" t="s">
        <v>28</v>
      </c>
      <c r="D90" s="4">
        <v>44971</v>
      </c>
      <c r="E90" s="1">
        <v>0.45833333333333331</v>
      </c>
      <c r="F90" s="2" t="s">
        <v>11</v>
      </c>
      <c r="G90" s="2" t="s">
        <v>34</v>
      </c>
    </row>
    <row r="91" spans="1:7" x14ac:dyDescent="0.3">
      <c r="A91" s="2" t="s">
        <v>149</v>
      </c>
      <c r="B91" s="2" t="s">
        <v>45</v>
      </c>
      <c r="C91" s="2" t="s">
        <v>2</v>
      </c>
      <c r="D91" s="4">
        <v>45078</v>
      </c>
      <c r="E91" s="1">
        <v>0.72916666666666663</v>
      </c>
      <c r="F91" s="2" t="s">
        <v>19</v>
      </c>
      <c r="G91" s="2" t="s">
        <v>8</v>
      </c>
    </row>
    <row r="92" spans="1:7" x14ac:dyDescent="0.3">
      <c r="A92" s="2" t="s">
        <v>150</v>
      </c>
      <c r="B92" s="2" t="s">
        <v>85</v>
      </c>
      <c r="C92" s="2" t="s">
        <v>15</v>
      </c>
      <c r="D92" s="4">
        <v>45088</v>
      </c>
      <c r="E92" s="1">
        <v>0.55208333333333337</v>
      </c>
      <c r="F92" s="2" t="s">
        <v>19</v>
      </c>
      <c r="G92" s="2" t="s">
        <v>12</v>
      </c>
    </row>
    <row r="93" spans="1:7" x14ac:dyDescent="0.3">
      <c r="A93" s="2" t="s">
        <v>151</v>
      </c>
      <c r="B93" s="2" t="s">
        <v>45</v>
      </c>
      <c r="C93" s="2" t="s">
        <v>52</v>
      </c>
      <c r="D93" s="4">
        <v>44956</v>
      </c>
      <c r="E93" s="1">
        <v>0.59375</v>
      </c>
      <c r="F93" s="2" t="s">
        <v>3</v>
      </c>
      <c r="G93" s="2" t="s">
        <v>4</v>
      </c>
    </row>
    <row r="94" spans="1:7" x14ac:dyDescent="0.3">
      <c r="A94" s="2" t="s">
        <v>152</v>
      </c>
      <c r="B94" s="2" t="s">
        <v>1</v>
      </c>
      <c r="C94" s="2" t="s">
        <v>52</v>
      </c>
      <c r="D94" s="4">
        <v>45025</v>
      </c>
      <c r="E94" s="1">
        <v>0.39583333333333331</v>
      </c>
      <c r="F94" s="2" t="s">
        <v>31</v>
      </c>
      <c r="G94" s="2" t="s">
        <v>34</v>
      </c>
    </row>
    <row r="95" spans="1:7" x14ac:dyDescent="0.3">
      <c r="A95" s="2" t="s">
        <v>153</v>
      </c>
      <c r="B95" s="2" t="s">
        <v>154</v>
      </c>
      <c r="C95" s="2" t="s">
        <v>41</v>
      </c>
      <c r="D95" s="4">
        <v>45024</v>
      </c>
      <c r="E95" s="1">
        <v>0.36458333333333331</v>
      </c>
      <c r="F95" s="2" t="s">
        <v>11</v>
      </c>
      <c r="G95" s="2" t="s">
        <v>12</v>
      </c>
    </row>
    <row r="96" spans="1:7" x14ac:dyDescent="0.3">
      <c r="A96" s="2" t="s">
        <v>155</v>
      </c>
      <c r="B96" s="2" t="s">
        <v>156</v>
      </c>
      <c r="C96" s="2" t="s">
        <v>2</v>
      </c>
      <c r="D96" s="4">
        <v>45055</v>
      </c>
      <c r="E96" s="1">
        <v>0.42708333333333331</v>
      </c>
      <c r="F96" s="2" t="s">
        <v>3</v>
      </c>
      <c r="G96" s="2" t="s">
        <v>12</v>
      </c>
    </row>
    <row r="97" spans="1:7" x14ac:dyDescent="0.3">
      <c r="A97" s="2" t="s">
        <v>157</v>
      </c>
      <c r="B97" s="2" t="s">
        <v>99</v>
      </c>
      <c r="C97" s="2" t="s">
        <v>18</v>
      </c>
      <c r="D97" s="4">
        <v>45114</v>
      </c>
      <c r="E97" s="1">
        <v>0.625</v>
      </c>
      <c r="F97" s="2" t="s">
        <v>11</v>
      </c>
      <c r="G97" s="2" t="s">
        <v>34</v>
      </c>
    </row>
    <row r="98" spans="1:7" x14ac:dyDescent="0.3">
      <c r="A98" s="2" t="s">
        <v>158</v>
      </c>
      <c r="B98" s="2" t="s">
        <v>116</v>
      </c>
      <c r="C98" s="2" t="s">
        <v>52</v>
      </c>
      <c r="D98" s="4">
        <v>45052</v>
      </c>
      <c r="E98" s="1">
        <v>0.61458333333333337</v>
      </c>
      <c r="F98" s="2" t="s">
        <v>31</v>
      </c>
      <c r="G98" s="2" t="s">
        <v>8</v>
      </c>
    </row>
    <row r="99" spans="1:7" x14ac:dyDescent="0.3">
      <c r="A99" s="2" t="s">
        <v>159</v>
      </c>
      <c r="B99" s="2" t="s">
        <v>21</v>
      </c>
      <c r="C99" s="2" t="s">
        <v>67</v>
      </c>
      <c r="D99" s="4">
        <v>45002</v>
      </c>
      <c r="E99" s="1">
        <v>0.54166666666666663</v>
      </c>
      <c r="F99" s="2" t="s">
        <v>19</v>
      </c>
      <c r="G99" s="2" t="s">
        <v>34</v>
      </c>
    </row>
    <row r="100" spans="1:7" x14ac:dyDescent="0.3">
      <c r="A100" s="2" t="s">
        <v>160</v>
      </c>
      <c r="B100" s="2" t="s">
        <v>161</v>
      </c>
      <c r="C100" s="2" t="s">
        <v>25</v>
      </c>
      <c r="D100" s="4">
        <v>45111</v>
      </c>
      <c r="E100" s="1">
        <v>0.625</v>
      </c>
      <c r="F100" s="2" t="s">
        <v>22</v>
      </c>
      <c r="G100" s="2" t="s">
        <v>34</v>
      </c>
    </row>
    <row r="101" spans="1:7" x14ac:dyDescent="0.3">
      <c r="A101" s="2" t="s">
        <v>162</v>
      </c>
      <c r="B101" s="2" t="s">
        <v>38</v>
      </c>
      <c r="C101" s="2" t="s">
        <v>15</v>
      </c>
      <c r="D101" s="4">
        <v>44987</v>
      </c>
      <c r="E101" s="1">
        <v>0.33333333333333331</v>
      </c>
      <c r="F101" s="2" t="s">
        <v>19</v>
      </c>
      <c r="G101" s="2" t="s">
        <v>4</v>
      </c>
    </row>
    <row r="102" spans="1:7" x14ac:dyDescent="0.3">
      <c r="A102" s="2" t="s">
        <v>163</v>
      </c>
      <c r="B102" s="2" t="s">
        <v>77</v>
      </c>
      <c r="C102" s="2" t="s">
        <v>52</v>
      </c>
      <c r="D102" s="4">
        <v>45190</v>
      </c>
      <c r="E102" s="1">
        <v>0.55208333333333337</v>
      </c>
      <c r="F102" s="2" t="s">
        <v>3</v>
      </c>
      <c r="G102" s="2" t="s">
        <v>4</v>
      </c>
    </row>
    <row r="103" spans="1:7" x14ac:dyDescent="0.3">
      <c r="A103" s="2" t="s">
        <v>164</v>
      </c>
      <c r="B103" s="2" t="s">
        <v>14</v>
      </c>
      <c r="C103" s="2" t="s">
        <v>67</v>
      </c>
      <c r="D103" s="4">
        <v>45224</v>
      </c>
      <c r="E103" s="1">
        <v>0.375</v>
      </c>
      <c r="F103" s="2" t="s">
        <v>22</v>
      </c>
      <c r="G103" s="2" t="s">
        <v>8</v>
      </c>
    </row>
    <row r="104" spans="1:7" x14ac:dyDescent="0.3">
      <c r="A104" s="2" t="s">
        <v>165</v>
      </c>
      <c r="B104" s="2" t="s">
        <v>74</v>
      </c>
      <c r="C104" s="2" t="s">
        <v>67</v>
      </c>
      <c r="D104" s="4">
        <v>44950</v>
      </c>
      <c r="E104" s="1">
        <v>0.35416666666666669</v>
      </c>
      <c r="F104" s="2" t="s">
        <v>3</v>
      </c>
      <c r="G104" s="2" t="s">
        <v>12</v>
      </c>
    </row>
    <row r="105" spans="1:7" x14ac:dyDescent="0.3">
      <c r="A105" s="2" t="s">
        <v>166</v>
      </c>
      <c r="B105" s="2" t="s">
        <v>77</v>
      </c>
      <c r="C105" s="2" t="s">
        <v>15</v>
      </c>
      <c r="D105" s="4">
        <v>45034</v>
      </c>
      <c r="E105" s="1">
        <v>0.36458333333333331</v>
      </c>
      <c r="F105" s="2" t="s">
        <v>31</v>
      </c>
      <c r="G105" s="2" t="s">
        <v>34</v>
      </c>
    </row>
    <row r="106" spans="1:7" x14ac:dyDescent="0.3">
      <c r="A106" s="2" t="s">
        <v>167</v>
      </c>
      <c r="B106" s="2" t="s">
        <v>85</v>
      </c>
      <c r="C106" s="2" t="s">
        <v>18</v>
      </c>
      <c r="D106" s="4">
        <v>45152</v>
      </c>
      <c r="E106" s="1">
        <v>0.66666666666666663</v>
      </c>
      <c r="F106" s="2" t="s">
        <v>22</v>
      </c>
      <c r="G106" s="2" t="s">
        <v>8</v>
      </c>
    </row>
    <row r="107" spans="1:7" x14ac:dyDescent="0.3">
      <c r="A107" s="2" t="s">
        <v>168</v>
      </c>
      <c r="B107" s="2" t="s">
        <v>49</v>
      </c>
      <c r="C107" s="2" t="s">
        <v>67</v>
      </c>
      <c r="D107" s="4">
        <v>45228</v>
      </c>
      <c r="E107" s="1">
        <v>0.46875</v>
      </c>
      <c r="F107" s="2" t="s">
        <v>3</v>
      </c>
      <c r="G107" s="2" t="s">
        <v>4</v>
      </c>
    </row>
    <row r="108" spans="1:7" x14ac:dyDescent="0.3">
      <c r="A108" s="2" t="s">
        <v>169</v>
      </c>
      <c r="B108" s="2" t="s">
        <v>170</v>
      </c>
      <c r="C108" s="2" t="s">
        <v>25</v>
      </c>
      <c r="D108" s="4">
        <v>45033</v>
      </c>
      <c r="E108" s="1">
        <v>0.57291666666666663</v>
      </c>
      <c r="F108" s="2" t="s">
        <v>31</v>
      </c>
      <c r="G108" s="2" t="s">
        <v>34</v>
      </c>
    </row>
    <row r="109" spans="1:7" x14ac:dyDescent="0.3">
      <c r="A109" s="2" t="s">
        <v>171</v>
      </c>
      <c r="B109" s="2" t="s">
        <v>102</v>
      </c>
      <c r="C109" s="2" t="s">
        <v>67</v>
      </c>
      <c r="D109" s="4">
        <v>45037</v>
      </c>
      <c r="E109" s="1">
        <v>0.625</v>
      </c>
      <c r="F109" s="2" t="s">
        <v>19</v>
      </c>
      <c r="G109" s="2" t="s">
        <v>12</v>
      </c>
    </row>
    <row r="110" spans="1:7" x14ac:dyDescent="0.3">
      <c r="A110" s="2" t="s">
        <v>172</v>
      </c>
      <c r="B110" s="2" t="s">
        <v>118</v>
      </c>
      <c r="C110" s="2" t="s">
        <v>67</v>
      </c>
      <c r="D110" s="4">
        <v>45136</v>
      </c>
      <c r="E110" s="1">
        <v>0.58333333333333337</v>
      </c>
      <c r="F110" s="2" t="s">
        <v>31</v>
      </c>
      <c r="G110" s="2" t="s">
        <v>4</v>
      </c>
    </row>
    <row r="111" spans="1:7" x14ac:dyDescent="0.3">
      <c r="A111" s="2" t="s">
        <v>173</v>
      </c>
      <c r="B111" s="2" t="s">
        <v>61</v>
      </c>
      <c r="C111" s="2" t="s">
        <v>67</v>
      </c>
      <c r="D111" s="4">
        <v>45126</v>
      </c>
      <c r="E111" s="1">
        <v>0.60416666666666663</v>
      </c>
      <c r="F111" s="2" t="s">
        <v>11</v>
      </c>
      <c r="G111" s="2" t="s">
        <v>4</v>
      </c>
    </row>
    <row r="112" spans="1:7" x14ac:dyDescent="0.3">
      <c r="A112" s="2" t="s">
        <v>174</v>
      </c>
      <c r="B112" s="2" t="s">
        <v>118</v>
      </c>
      <c r="C112" s="2" t="s">
        <v>28</v>
      </c>
      <c r="D112" s="4">
        <v>45068</v>
      </c>
      <c r="E112" s="1">
        <v>0.64583333333333337</v>
      </c>
      <c r="F112" s="2" t="s">
        <v>31</v>
      </c>
      <c r="G112" s="2" t="s">
        <v>4</v>
      </c>
    </row>
    <row r="113" spans="1:7" x14ac:dyDescent="0.3">
      <c r="A113" s="2" t="s">
        <v>175</v>
      </c>
      <c r="B113" s="2" t="s">
        <v>10</v>
      </c>
      <c r="C113" s="2" t="s">
        <v>28</v>
      </c>
      <c r="D113" s="4">
        <v>44937</v>
      </c>
      <c r="E113" s="1">
        <v>0.33333333333333331</v>
      </c>
      <c r="F113" s="2" t="s">
        <v>31</v>
      </c>
      <c r="G113" s="2" t="s">
        <v>8</v>
      </c>
    </row>
    <row r="114" spans="1:7" x14ac:dyDescent="0.3">
      <c r="A114" s="2" t="s">
        <v>176</v>
      </c>
      <c r="B114" s="2" t="s">
        <v>77</v>
      </c>
      <c r="C114" s="2" t="s">
        <v>18</v>
      </c>
      <c r="D114" s="4">
        <v>45254</v>
      </c>
      <c r="E114" s="1">
        <v>0.64583333333333337</v>
      </c>
      <c r="F114" s="2" t="s">
        <v>11</v>
      </c>
      <c r="G114" s="2" t="s">
        <v>12</v>
      </c>
    </row>
    <row r="115" spans="1:7" x14ac:dyDescent="0.3">
      <c r="A115" s="2" t="s">
        <v>177</v>
      </c>
      <c r="B115" s="2" t="s">
        <v>178</v>
      </c>
      <c r="C115" s="2" t="s">
        <v>52</v>
      </c>
      <c r="D115" s="4">
        <v>45146</v>
      </c>
      <c r="E115" s="1">
        <v>0.375</v>
      </c>
      <c r="F115" s="2" t="s">
        <v>3</v>
      </c>
      <c r="G115" s="2" t="s">
        <v>34</v>
      </c>
    </row>
    <row r="116" spans="1:7" x14ac:dyDescent="0.3">
      <c r="A116" s="2" t="s">
        <v>179</v>
      </c>
      <c r="B116" s="2" t="s">
        <v>61</v>
      </c>
      <c r="C116" s="2" t="s">
        <v>67</v>
      </c>
      <c r="D116" s="4">
        <v>45224</v>
      </c>
      <c r="E116" s="1">
        <v>0.4375</v>
      </c>
      <c r="F116" s="2" t="s">
        <v>3</v>
      </c>
      <c r="G116" s="2" t="s">
        <v>8</v>
      </c>
    </row>
    <row r="117" spans="1:7" x14ac:dyDescent="0.3">
      <c r="A117" s="2" t="s">
        <v>180</v>
      </c>
      <c r="B117" s="2" t="s">
        <v>30</v>
      </c>
      <c r="C117" s="2" t="s">
        <v>2</v>
      </c>
      <c r="D117" s="4">
        <v>45114</v>
      </c>
      <c r="E117" s="1">
        <v>0.38541666666666669</v>
      </c>
      <c r="F117" s="2" t="s">
        <v>31</v>
      </c>
      <c r="G117" s="2" t="s">
        <v>8</v>
      </c>
    </row>
    <row r="118" spans="1:7" x14ac:dyDescent="0.3">
      <c r="A118" s="2" t="s">
        <v>181</v>
      </c>
      <c r="B118" s="2" t="s">
        <v>6</v>
      </c>
      <c r="C118" s="2" t="s">
        <v>52</v>
      </c>
      <c r="D118" s="4">
        <v>45097</v>
      </c>
      <c r="E118" s="1">
        <v>0.57291666666666663</v>
      </c>
      <c r="F118" s="2" t="s">
        <v>11</v>
      </c>
      <c r="G118" s="2" t="s">
        <v>8</v>
      </c>
    </row>
    <row r="119" spans="1:7" x14ac:dyDescent="0.3">
      <c r="A119" s="2" t="s">
        <v>182</v>
      </c>
      <c r="B119" s="2" t="s">
        <v>102</v>
      </c>
      <c r="C119" s="2" t="s">
        <v>18</v>
      </c>
      <c r="D119" s="4">
        <v>45147</v>
      </c>
      <c r="E119" s="1">
        <v>0.34375</v>
      </c>
      <c r="F119" s="2" t="s">
        <v>11</v>
      </c>
      <c r="G119" s="2" t="s">
        <v>4</v>
      </c>
    </row>
    <row r="120" spans="1:7" x14ac:dyDescent="0.3">
      <c r="A120" s="2" t="s">
        <v>183</v>
      </c>
      <c r="B120" s="2" t="s">
        <v>83</v>
      </c>
      <c r="C120" s="2" t="s">
        <v>7</v>
      </c>
      <c r="D120" s="4">
        <v>45278</v>
      </c>
      <c r="E120" s="1">
        <v>0.5625</v>
      </c>
      <c r="F120" s="2" t="s">
        <v>19</v>
      </c>
      <c r="G120" s="2" t="s">
        <v>12</v>
      </c>
    </row>
    <row r="121" spans="1:7" x14ac:dyDescent="0.3">
      <c r="A121" s="2" t="s">
        <v>184</v>
      </c>
      <c r="B121" s="2" t="s">
        <v>6</v>
      </c>
      <c r="C121" s="2" t="s">
        <v>52</v>
      </c>
      <c r="D121" s="4">
        <v>45268</v>
      </c>
      <c r="E121" s="1">
        <v>0.45833333333333331</v>
      </c>
      <c r="F121" s="2" t="s">
        <v>3</v>
      </c>
      <c r="G121" s="2" t="s">
        <v>8</v>
      </c>
    </row>
    <row r="122" spans="1:7" x14ac:dyDescent="0.3">
      <c r="A122" s="2" t="s">
        <v>185</v>
      </c>
      <c r="B122" s="2" t="s">
        <v>49</v>
      </c>
      <c r="C122" s="2" t="s">
        <v>52</v>
      </c>
      <c r="D122" s="4">
        <v>45023</v>
      </c>
      <c r="E122" s="1">
        <v>0.625</v>
      </c>
      <c r="F122" s="2" t="s">
        <v>22</v>
      </c>
      <c r="G122" s="2" t="s">
        <v>34</v>
      </c>
    </row>
    <row r="123" spans="1:7" x14ac:dyDescent="0.3">
      <c r="A123" s="2" t="s">
        <v>186</v>
      </c>
      <c r="B123" s="2" t="s">
        <v>43</v>
      </c>
      <c r="C123" s="2" t="s">
        <v>47</v>
      </c>
      <c r="D123" s="4">
        <v>45118</v>
      </c>
      <c r="E123" s="1">
        <v>0.60416666666666663</v>
      </c>
      <c r="F123" s="2" t="s">
        <v>3</v>
      </c>
      <c r="G123" s="2" t="s">
        <v>12</v>
      </c>
    </row>
    <row r="124" spans="1:7" x14ac:dyDescent="0.3">
      <c r="A124" s="2" t="s">
        <v>187</v>
      </c>
      <c r="B124" s="2" t="s">
        <v>61</v>
      </c>
      <c r="C124" s="2" t="s">
        <v>41</v>
      </c>
      <c r="D124" s="4">
        <v>44985</v>
      </c>
      <c r="E124" s="1">
        <v>0.44791666666666669</v>
      </c>
      <c r="F124" s="2" t="s">
        <v>3</v>
      </c>
      <c r="G124" s="2" t="s">
        <v>34</v>
      </c>
    </row>
    <row r="125" spans="1:7" x14ac:dyDescent="0.3">
      <c r="A125" s="2" t="s">
        <v>188</v>
      </c>
      <c r="B125" s="2" t="s">
        <v>135</v>
      </c>
      <c r="C125" s="2" t="s">
        <v>47</v>
      </c>
      <c r="D125" s="4">
        <v>45001</v>
      </c>
      <c r="E125" s="1">
        <v>0.71875</v>
      </c>
      <c r="F125" s="2" t="s">
        <v>19</v>
      </c>
      <c r="G125" s="2" t="s">
        <v>12</v>
      </c>
    </row>
    <row r="126" spans="1:7" x14ac:dyDescent="0.3">
      <c r="A126" s="2" t="s">
        <v>189</v>
      </c>
      <c r="B126" s="2" t="s">
        <v>83</v>
      </c>
      <c r="C126" s="2" t="s">
        <v>25</v>
      </c>
      <c r="D126" s="4">
        <v>44975</v>
      </c>
      <c r="E126" s="1">
        <v>0.42708333333333331</v>
      </c>
      <c r="F126" s="2" t="s">
        <v>22</v>
      </c>
      <c r="G126" s="2" t="s">
        <v>34</v>
      </c>
    </row>
    <row r="127" spans="1:7" x14ac:dyDescent="0.3">
      <c r="A127" s="2" t="s">
        <v>190</v>
      </c>
      <c r="B127" s="2" t="s">
        <v>14</v>
      </c>
      <c r="C127" s="2" t="s">
        <v>28</v>
      </c>
      <c r="D127" s="4">
        <v>45232</v>
      </c>
      <c r="E127" s="1">
        <v>0.40625</v>
      </c>
      <c r="F127" s="2" t="s">
        <v>19</v>
      </c>
      <c r="G127" s="2" t="s">
        <v>4</v>
      </c>
    </row>
    <row r="128" spans="1:7" x14ac:dyDescent="0.3">
      <c r="A128" s="2" t="s">
        <v>191</v>
      </c>
      <c r="B128" s="2" t="s">
        <v>118</v>
      </c>
      <c r="C128" s="2" t="s">
        <v>28</v>
      </c>
      <c r="D128" s="4">
        <v>45243</v>
      </c>
      <c r="E128" s="1">
        <v>0.35416666666666669</v>
      </c>
      <c r="F128" s="2" t="s">
        <v>22</v>
      </c>
      <c r="G128" s="2" t="s">
        <v>8</v>
      </c>
    </row>
    <row r="129" spans="1:7" x14ac:dyDescent="0.3">
      <c r="A129" s="2" t="s">
        <v>192</v>
      </c>
      <c r="B129" s="2" t="s">
        <v>154</v>
      </c>
      <c r="C129" s="2" t="s">
        <v>41</v>
      </c>
      <c r="D129" s="4">
        <v>45031</v>
      </c>
      <c r="E129" s="1">
        <v>0.61458333333333337</v>
      </c>
      <c r="F129" s="2" t="s">
        <v>31</v>
      </c>
      <c r="G129" s="2" t="s">
        <v>34</v>
      </c>
    </row>
    <row r="130" spans="1:7" x14ac:dyDescent="0.3">
      <c r="A130" s="2" t="s">
        <v>193</v>
      </c>
      <c r="B130" s="2" t="s">
        <v>63</v>
      </c>
      <c r="C130" s="2" t="s">
        <v>15</v>
      </c>
      <c r="D130" s="4">
        <v>45163</v>
      </c>
      <c r="E130" s="1">
        <v>0.39583333333333331</v>
      </c>
      <c r="F130" s="2" t="s">
        <v>22</v>
      </c>
      <c r="G130" s="2" t="s">
        <v>12</v>
      </c>
    </row>
    <row r="131" spans="1:7" x14ac:dyDescent="0.3">
      <c r="A131" s="2" t="s">
        <v>194</v>
      </c>
      <c r="B131" s="2" t="s">
        <v>144</v>
      </c>
      <c r="C131" s="2" t="s">
        <v>15</v>
      </c>
      <c r="D131" s="4">
        <v>44980</v>
      </c>
      <c r="E131" s="1">
        <v>0.625</v>
      </c>
      <c r="F131" s="2" t="s">
        <v>19</v>
      </c>
      <c r="G131" s="2" t="s">
        <v>8</v>
      </c>
    </row>
    <row r="132" spans="1:7" x14ac:dyDescent="0.3">
      <c r="A132" s="2" t="s">
        <v>195</v>
      </c>
      <c r="B132" s="2" t="s">
        <v>61</v>
      </c>
      <c r="C132" s="2" t="s">
        <v>18</v>
      </c>
      <c r="D132" s="4">
        <v>45057</v>
      </c>
      <c r="E132" s="1">
        <v>0.6875</v>
      </c>
      <c r="F132" s="2" t="s">
        <v>3</v>
      </c>
      <c r="G132" s="2" t="s">
        <v>8</v>
      </c>
    </row>
    <row r="133" spans="1:7" x14ac:dyDescent="0.3">
      <c r="A133" s="2" t="s">
        <v>196</v>
      </c>
      <c r="B133" s="2" t="s">
        <v>112</v>
      </c>
      <c r="C133" s="2" t="s">
        <v>41</v>
      </c>
      <c r="D133" s="4">
        <v>45133</v>
      </c>
      <c r="E133" s="1">
        <v>0.44791666666666669</v>
      </c>
      <c r="F133" s="2" t="s">
        <v>22</v>
      </c>
      <c r="G133" s="2" t="s">
        <v>12</v>
      </c>
    </row>
    <row r="134" spans="1:7" x14ac:dyDescent="0.3">
      <c r="A134" s="2" t="s">
        <v>197</v>
      </c>
      <c r="B134" s="2" t="s">
        <v>10</v>
      </c>
      <c r="C134" s="2" t="s">
        <v>52</v>
      </c>
      <c r="D134" s="4">
        <v>45008</v>
      </c>
      <c r="E134" s="1">
        <v>0.60416666666666663</v>
      </c>
      <c r="F134" s="2" t="s">
        <v>22</v>
      </c>
      <c r="G134" s="2" t="s">
        <v>34</v>
      </c>
    </row>
    <row r="135" spans="1:7" x14ac:dyDescent="0.3">
      <c r="A135" s="2" t="s">
        <v>198</v>
      </c>
      <c r="B135" s="2" t="s">
        <v>14</v>
      </c>
      <c r="C135" s="2" t="s">
        <v>15</v>
      </c>
      <c r="D135" s="4">
        <v>45216</v>
      </c>
      <c r="E135" s="1">
        <v>0.63541666666666663</v>
      </c>
      <c r="F135" s="2" t="s">
        <v>11</v>
      </c>
      <c r="G135" s="2" t="s">
        <v>4</v>
      </c>
    </row>
    <row r="136" spans="1:7" x14ac:dyDescent="0.3">
      <c r="A136" s="2" t="s">
        <v>199</v>
      </c>
      <c r="B136" s="2" t="s">
        <v>36</v>
      </c>
      <c r="C136" s="2" t="s">
        <v>67</v>
      </c>
      <c r="D136" s="4">
        <v>45178</v>
      </c>
      <c r="E136" s="1">
        <v>0.6875</v>
      </c>
      <c r="F136" s="2" t="s">
        <v>3</v>
      </c>
      <c r="G136" s="2" t="s">
        <v>4</v>
      </c>
    </row>
    <row r="137" spans="1:7" x14ac:dyDescent="0.3">
      <c r="A137" s="2" t="s">
        <v>200</v>
      </c>
      <c r="B137" s="2" t="s">
        <v>135</v>
      </c>
      <c r="C137" s="2" t="s">
        <v>2</v>
      </c>
      <c r="D137" s="4">
        <v>45059</v>
      </c>
      <c r="E137" s="1">
        <v>0.52083333333333337</v>
      </c>
      <c r="F137" s="2" t="s">
        <v>31</v>
      </c>
      <c r="G137" s="2" t="s">
        <v>34</v>
      </c>
    </row>
    <row r="138" spans="1:7" x14ac:dyDescent="0.3">
      <c r="A138" s="2" t="s">
        <v>201</v>
      </c>
      <c r="B138" s="2" t="s">
        <v>93</v>
      </c>
      <c r="C138" s="2" t="s">
        <v>52</v>
      </c>
      <c r="D138" s="4">
        <v>45224</v>
      </c>
      <c r="E138" s="1">
        <v>0.41666666666666669</v>
      </c>
      <c r="F138" s="2" t="s">
        <v>19</v>
      </c>
      <c r="G138" s="2" t="s">
        <v>8</v>
      </c>
    </row>
    <row r="139" spans="1:7" x14ac:dyDescent="0.3">
      <c r="A139" s="2" t="s">
        <v>202</v>
      </c>
      <c r="B139" s="2" t="s">
        <v>61</v>
      </c>
      <c r="C139" s="2" t="s">
        <v>25</v>
      </c>
      <c r="D139" s="4">
        <v>45286</v>
      </c>
      <c r="E139" s="1">
        <v>0.63541666666666663</v>
      </c>
      <c r="F139" s="2" t="s">
        <v>31</v>
      </c>
      <c r="G139" s="2" t="s">
        <v>8</v>
      </c>
    </row>
    <row r="140" spans="1:7" x14ac:dyDescent="0.3">
      <c r="A140" s="2" t="s">
        <v>203</v>
      </c>
      <c r="B140" s="2" t="s">
        <v>77</v>
      </c>
      <c r="C140" s="2" t="s">
        <v>67</v>
      </c>
      <c r="D140" s="4">
        <v>45209</v>
      </c>
      <c r="E140" s="1">
        <v>0.44791666666666669</v>
      </c>
      <c r="F140" s="2" t="s">
        <v>3</v>
      </c>
      <c r="G140" s="2" t="s">
        <v>8</v>
      </c>
    </row>
    <row r="141" spans="1:7" x14ac:dyDescent="0.3">
      <c r="A141" s="2" t="s">
        <v>204</v>
      </c>
      <c r="B141" s="2" t="s">
        <v>43</v>
      </c>
      <c r="C141" s="2" t="s">
        <v>67</v>
      </c>
      <c r="D141" s="4">
        <v>44962</v>
      </c>
      <c r="E141" s="1">
        <v>0.63541666666666663</v>
      </c>
      <c r="F141" s="2" t="s">
        <v>22</v>
      </c>
      <c r="G141" s="2" t="s">
        <v>8</v>
      </c>
    </row>
    <row r="142" spans="1:7" x14ac:dyDescent="0.3">
      <c r="A142" s="2" t="s">
        <v>205</v>
      </c>
      <c r="B142" s="2" t="s">
        <v>154</v>
      </c>
      <c r="C142" s="2" t="s">
        <v>41</v>
      </c>
      <c r="D142" s="4">
        <v>45092</v>
      </c>
      <c r="E142" s="1">
        <v>0.63541666666666663</v>
      </c>
      <c r="F142" s="2" t="s">
        <v>22</v>
      </c>
      <c r="G142" s="2" t="s">
        <v>34</v>
      </c>
    </row>
    <row r="143" spans="1:7" x14ac:dyDescent="0.3">
      <c r="A143" s="2" t="s">
        <v>206</v>
      </c>
      <c r="B143" s="2" t="s">
        <v>93</v>
      </c>
      <c r="C143" s="2" t="s">
        <v>18</v>
      </c>
      <c r="D143" s="4">
        <v>45231</v>
      </c>
      <c r="E143" s="1">
        <v>0.48958333333333331</v>
      </c>
      <c r="F143" s="2" t="s">
        <v>3</v>
      </c>
      <c r="G143" s="2" t="s">
        <v>8</v>
      </c>
    </row>
    <row r="144" spans="1:7" x14ac:dyDescent="0.3">
      <c r="A144" s="2" t="s">
        <v>207</v>
      </c>
      <c r="B144" s="2" t="s">
        <v>43</v>
      </c>
      <c r="C144" s="2" t="s">
        <v>25</v>
      </c>
      <c r="D144" s="4">
        <v>45190</v>
      </c>
      <c r="E144" s="1">
        <v>0.51041666666666663</v>
      </c>
      <c r="F144" s="2" t="s">
        <v>22</v>
      </c>
      <c r="G144" s="2" t="s">
        <v>12</v>
      </c>
    </row>
    <row r="145" spans="1:7" x14ac:dyDescent="0.3">
      <c r="A145" s="2" t="s">
        <v>208</v>
      </c>
      <c r="B145" s="2" t="s">
        <v>170</v>
      </c>
      <c r="C145" s="2" t="s">
        <v>15</v>
      </c>
      <c r="D145" s="4">
        <v>45154</v>
      </c>
      <c r="E145" s="1">
        <v>0.51041666666666663</v>
      </c>
      <c r="F145" s="2" t="s">
        <v>22</v>
      </c>
      <c r="G145" s="2" t="s">
        <v>8</v>
      </c>
    </row>
    <row r="146" spans="1:7" x14ac:dyDescent="0.3">
      <c r="A146" s="2" t="s">
        <v>209</v>
      </c>
      <c r="B146" s="2" t="s">
        <v>156</v>
      </c>
      <c r="C146" s="2" t="s">
        <v>41</v>
      </c>
      <c r="D146" s="4">
        <v>45241</v>
      </c>
      <c r="E146" s="1">
        <v>0.61458333333333337</v>
      </c>
      <c r="F146" s="2" t="s">
        <v>22</v>
      </c>
      <c r="G146" s="2" t="s">
        <v>4</v>
      </c>
    </row>
    <row r="147" spans="1:7" x14ac:dyDescent="0.3">
      <c r="A147" s="2" t="s">
        <v>210</v>
      </c>
      <c r="B147" s="2" t="s">
        <v>56</v>
      </c>
      <c r="C147" s="2" t="s">
        <v>15</v>
      </c>
      <c r="D147" s="4">
        <v>44931</v>
      </c>
      <c r="E147" s="1">
        <v>0.39583333333333331</v>
      </c>
      <c r="F147" s="2" t="s">
        <v>19</v>
      </c>
      <c r="G147" s="2" t="s">
        <v>8</v>
      </c>
    </row>
    <row r="148" spans="1:7" x14ac:dyDescent="0.3">
      <c r="A148" s="2" t="s">
        <v>211</v>
      </c>
      <c r="B148" s="2" t="s">
        <v>54</v>
      </c>
      <c r="C148" s="2" t="s">
        <v>41</v>
      </c>
      <c r="D148" s="4">
        <v>45243</v>
      </c>
      <c r="E148" s="1">
        <v>0.72916666666666663</v>
      </c>
      <c r="F148" s="2" t="s">
        <v>19</v>
      </c>
      <c r="G148" s="2" t="s">
        <v>34</v>
      </c>
    </row>
    <row r="149" spans="1:7" x14ac:dyDescent="0.3">
      <c r="A149" s="2" t="s">
        <v>212</v>
      </c>
      <c r="B149" s="2" t="s">
        <v>90</v>
      </c>
      <c r="C149" s="2" t="s">
        <v>41</v>
      </c>
      <c r="D149" s="4">
        <v>45266</v>
      </c>
      <c r="E149" s="1">
        <v>0.35416666666666669</v>
      </c>
      <c r="F149" s="2" t="s">
        <v>11</v>
      </c>
      <c r="G149" s="2" t="s">
        <v>4</v>
      </c>
    </row>
    <row r="150" spans="1:7" x14ac:dyDescent="0.3">
      <c r="A150" s="2" t="s">
        <v>213</v>
      </c>
      <c r="B150" s="2" t="s">
        <v>93</v>
      </c>
      <c r="C150" s="2" t="s">
        <v>41</v>
      </c>
      <c r="D150" s="4">
        <v>45133</v>
      </c>
      <c r="E150" s="1">
        <v>0.52083333333333337</v>
      </c>
      <c r="F150" s="2" t="s">
        <v>31</v>
      </c>
      <c r="G150" s="2" t="s">
        <v>34</v>
      </c>
    </row>
    <row r="151" spans="1:7" x14ac:dyDescent="0.3">
      <c r="A151" s="2" t="s">
        <v>214</v>
      </c>
      <c r="B151" s="2" t="s">
        <v>59</v>
      </c>
      <c r="C151" s="2" t="s">
        <v>18</v>
      </c>
      <c r="D151" s="4">
        <v>45154</v>
      </c>
      <c r="E151" s="1">
        <v>0.44791666666666669</v>
      </c>
      <c r="F151" s="2" t="s">
        <v>3</v>
      </c>
      <c r="G151" s="2" t="s">
        <v>34</v>
      </c>
    </row>
    <row r="152" spans="1:7" x14ac:dyDescent="0.3">
      <c r="A152" s="2" t="s">
        <v>215</v>
      </c>
      <c r="B152" s="2" t="s">
        <v>27</v>
      </c>
      <c r="C152" s="2" t="s">
        <v>41</v>
      </c>
      <c r="D152" s="4">
        <v>44954</v>
      </c>
      <c r="E152" s="1">
        <v>0.38541666666666669</v>
      </c>
      <c r="F152" s="2" t="s">
        <v>3</v>
      </c>
      <c r="G152" s="2" t="s">
        <v>4</v>
      </c>
    </row>
    <row r="153" spans="1:7" x14ac:dyDescent="0.3">
      <c r="A153" s="2" t="s">
        <v>216</v>
      </c>
      <c r="B153" s="2" t="s">
        <v>33</v>
      </c>
      <c r="C153" s="2" t="s">
        <v>7</v>
      </c>
      <c r="D153" s="4">
        <v>45030</v>
      </c>
      <c r="E153" s="1">
        <v>0.35416666666666669</v>
      </c>
      <c r="F153" s="2" t="s">
        <v>3</v>
      </c>
      <c r="G153" s="2" t="s">
        <v>34</v>
      </c>
    </row>
    <row r="154" spans="1:7" x14ac:dyDescent="0.3">
      <c r="A154" s="2" t="s">
        <v>217</v>
      </c>
      <c r="B154" s="2" t="s">
        <v>118</v>
      </c>
      <c r="C154" s="2" t="s">
        <v>2</v>
      </c>
      <c r="D154" s="4">
        <v>45115</v>
      </c>
      <c r="E154" s="1">
        <v>0.53125</v>
      </c>
      <c r="F154" s="2" t="s">
        <v>11</v>
      </c>
      <c r="G154" s="2" t="s">
        <v>34</v>
      </c>
    </row>
    <row r="155" spans="1:7" x14ac:dyDescent="0.3">
      <c r="A155" s="2" t="s">
        <v>218</v>
      </c>
      <c r="B155" s="2" t="s">
        <v>43</v>
      </c>
      <c r="C155" s="2" t="s">
        <v>15</v>
      </c>
      <c r="D155" s="4">
        <v>44991</v>
      </c>
      <c r="E155" s="1">
        <v>0.72916666666666663</v>
      </c>
      <c r="F155" s="2" t="s">
        <v>19</v>
      </c>
      <c r="G155" s="2" t="s">
        <v>8</v>
      </c>
    </row>
    <row r="156" spans="1:7" x14ac:dyDescent="0.3">
      <c r="A156" s="2" t="s">
        <v>219</v>
      </c>
      <c r="B156" s="2" t="s">
        <v>14</v>
      </c>
      <c r="C156" s="2" t="s">
        <v>52</v>
      </c>
      <c r="D156" s="4">
        <v>44929</v>
      </c>
      <c r="E156" s="1">
        <v>0.39583333333333331</v>
      </c>
      <c r="F156" s="2" t="s">
        <v>11</v>
      </c>
      <c r="G156" s="2" t="s">
        <v>12</v>
      </c>
    </row>
    <row r="157" spans="1:7" x14ac:dyDescent="0.3">
      <c r="A157" s="2" t="s">
        <v>220</v>
      </c>
      <c r="B157" s="2" t="s">
        <v>74</v>
      </c>
      <c r="C157" s="2" t="s">
        <v>47</v>
      </c>
      <c r="D157" s="4">
        <v>45252</v>
      </c>
      <c r="E157" s="1">
        <v>0.60416666666666663</v>
      </c>
      <c r="F157" s="2" t="s">
        <v>3</v>
      </c>
      <c r="G157" s="2" t="s">
        <v>34</v>
      </c>
    </row>
    <row r="158" spans="1:7" x14ac:dyDescent="0.3">
      <c r="A158" s="2" t="s">
        <v>221</v>
      </c>
      <c r="B158" s="2" t="s">
        <v>77</v>
      </c>
      <c r="C158" s="2" t="s">
        <v>25</v>
      </c>
      <c r="D158" s="4">
        <v>45058</v>
      </c>
      <c r="E158" s="1">
        <v>0.45833333333333331</v>
      </c>
      <c r="F158" s="2" t="s">
        <v>31</v>
      </c>
      <c r="G158" s="2" t="s">
        <v>34</v>
      </c>
    </row>
    <row r="159" spans="1:7" x14ac:dyDescent="0.3">
      <c r="A159" s="2" t="s">
        <v>222</v>
      </c>
      <c r="B159" s="2" t="s">
        <v>83</v>
      </c>
      <c r="C159" s="2" t="s">
        <v>28</v>
      </c>
      <c r="D159" s="4">
        <v>45119</v>
      </c>
      <c r="E159" s="1">
        <v>0.51041666666666663</v>
      </c>
      <c r="F159" s="2" t="s">
        <v>22</v>
      </c>
      <c r="G159" s="2" t="s">
        <v>34</v>
      </c>
    </row>
    <row r="160" spans="1:7" x14ac:dyDescent="0.3">
      <c r="A160" s="2" t="s">
        <v>223</v>
      </c>
      <c r="B160" s="2" t="s">
        <v>27</v>
      </c>
      <c r="C160" s="2" t="s">
        <v>18</v>
      </c>
      <c r="D160" s="4">
        <v>45024</v>
      </c>
      <c r="E160" s="1">
        <v>0.67708333333333337</v>
      </c>
      <c r="F160" s="2" t="s">
        <v>19</v>
      </c>
      <c r="G160" s="2" t="s">
        <v>8</v>
      </c>
    </row>
    <row r="161" spans="1:7" x14ac:dyDescent="0.3">
      <c r="A161" s="2" t="s">
        <v>224</v>
      </c>
      <c r="B161" s="2" t="s">
        <v>30</v>
      </c>
      <c r="C161" s="2" t="s">
        <v>52</v>
      </c>
      <c r="D161" s="4">
        <v>45277</v>
      </c>
      <c r="E161" s="1">
        <v>0.53125</v>
      </c>
      <c r="F161" s="2" t="s">
        <v>19</v>
      </c>
      <c r="G161" s="2" t="s">
        <v>12</v>
      </c>
    </row>
    <row r="162" spans="1:7" x14ac:dyDescent="0.3">
      <c r="A162" s="2" t="s">
        <v>225</v>
      </c>
      <c r="B162" s="2" t="s">
        <v>21</v>
      </c>
      <c r="C162" s="2" t="s">
        <v>67</v>
      </c>
      <c r="D162" s="4">
        <v>45094</v>
      </c>
      <c r="E162" s="1">
        <v>0.44791666666666669</v>
      </c>
      <c r="F162" s="2" t="s">
        <v>11</v>
      </c>
      <c r="G162" s="2" t="s">
        <v>4</v>
      </c>
    </row>
    <row r="163" spans="1:7" x14ac:dyDescent="0.3">
      <c r="A163" s="2" t="s">
        <v>226</v>
      </c>
      <c r="B163" s="2" t="s">
        <v>227</v>
      </c>
      <c r="C163" s="2" t="s">
        <v>7</v>
      </c>
      <c r="D163" s="4">
        <v>44927</v>
      </c>
      <c r="E163" s="1">
        <v>0.71875</v>
      </c>
      <c r="F163" s="2" t="s">
        <v>19</v>
      </c>
      <c r="G163" s="2" t="s">
        <v>8</v>
      </c>
    </row>
    <row r="164" spans="1:7" x14ac:dyDescent="0.3">
      <c r="A164" s="2" t="s">
        <v>228</v>
      </c>
      <c r="B164" s="2" t="s">
        <v>30</v>
      </c>
      <c r="C164" s="2" t="s">
        <v>28</v>
      </c>
      <c r="D164" s="4">
        <v>45104</v>
      </c>
      <c r="E164" s="1">
        <v>0.625</v>
      </c>
      <c r="F164" s="2" t="s">
        <v>3</v>
      </c>
      <c r="G164" s="2" t="s">
        <v>8</v>
      </c>
    </row>
    <row r="165" spans="1:7" x14ac:dyDescent="0.3">
      <c r="A165" s="2" t="s">
        <v>229</v>
      </c>
      <c r="B165" s="2" t="s">
        <v>54</v>
      </c>
      <c r="C165" s="2" t="s">
        <v>47</v>
      </c>
      <c r="D165" s="4">
        <v>45135</v>
      </c>
      <c r="E165" s="1">
        <v>0.71875</v>
      </c>
      <c r="F165" s="2" t="s">
        <v>3</v>
      </c>
      <c r="G165" s="2" t="s">
        <v>12</v>
      </c>
    </row>
    <row r="166" spans="1:7" x14ac:dyDescent="0.3">
      <c r="A166" s="2" t="s">
        <v>230</v>
      </c>
      <c r="B166" s="2" t="s">
        <v>90</v>
      </c>
      <c r="C166" s="2" t="s">
        <v>52</v>
      </c>
      <c r="D166" s="4">
        <v>45020</v>
      </c>
      <c r="E166" s="1">
        <v>0.64583333333333337</v>
      </c>
      <c r="F166" s="2" t="s">
        <v>11</v>
      </c>
      <c r="G166" s="2" t="s">
        <v>12</v>
      </c>
    </row>
    <row r="167" spans="1:7" x14ac:dyDescent="0.3">
      <c r="A167" s="2" t="s">
        <v>231</v>
      </c>
      <c r="B167" s="2" t="s">
        <v>33</v>
      </c>
      <c r="C167" s="2" t="s">
        <v>28</v>
      </c>
      <c r="D167" s="4">
        <v>44938</v>
      </c>
      <c r="E167" s="1">
        <v>0.61458333333333337</v>
      </c>
      <c r="F167" s="2" t="s">
        <v>3</v>
      </c>
      <c r="G167" s="2" t="s">
        <v>8</v>
      </c>
    </row>
    <row r="168" spans="1:7" x14ac:dyDescent="0.3">
      <c r="A168" s="2" t="s">
        <v>232</v>
      </c>
      <c r="B168" s="2" t="s">
        <v>118</v>
      </c>
      <c r="C168" s="2" t="s">
        <v>52</v>
      </c>
      <c r="D168" s="4">
        <v>45245</v>
      </c>
      <c r="E168" s="1">
        <v>0.34375</v>
      </c>
      <c r="F168" s="2" t="s">
        <v>31</v>
      </c>
      <c r="G168" s="2" t="s">
        <v>4</v>
      </c>
    </row>
    <row r="169" spans="1:7" x14ac:dyDescent="0.3">
      <c r="A169" s="2" t="s">
        <v>233</v>
      </c>
      <c r="B169" s="2" t="s">
        <v>83</v>
      </c>
      <c r="C169" s="2" t="s">
        <v>7</v>
      </c>
      <c r="D169" s="4">
        <v>45198</v>
      </c>
      <c r="E169" s="1">
        <v>0.41666666666666669</v>
      </c>
      <c r="F169" s="2" t="s">
        <v>11</v>
      </c>
      <c r="G169" s="2" t="s">
        <v>8</v>
      </c>
    </row>
    <row r="170" spans="1:7" x14ac:dyDescent="0.3">
      <c r="A170" s="2" t="s">
        <v>234</v>
      </c>
      <c r="B170" s="2" t="s">
        <v>38</v>
      </c>
      <c r="C170" s="2" t="s">
        <v>47</v>
      </c>
      <c r="D170" s="4">
        <v>45131</v>
      </c>
      <c r="E170" s="1">
        <v>0.69791666666666663</v>
      </c>
      <c r="F170" s="2" t="s">
        <v>31</v>
      </c>
      <c r="G170" s="2" t="s">
        <v>12</v>
      </c>
    </row>
    <row r="171" spans="1:7" x14ac:dyDescent="0.3">
      <c r="A171" s="2" t="s">
        <v>235</v>
      </c>
      <c r="B171" s="2" t="s">
        <v>122</v>
      </c>
      <c r="C171" s="2" t="s">
        <v>67</v>
      </c>
      <c r="D171" s="4">
        <v>44988</v>
      </c>
      <c r="E171" s="1">
        <v>0.375</v>
      </c>
      <c r="F171" s="2" t="s">
        <v>22</v>
      </c>
      <c r="G171" s="2" t="s">
        <v>4</v>
      </c>
    </row>
    <row r="172" spans="1:7" x14ac:dyDescent="0.3">
      <c r="A172" s="2" t="s">
        <v>236</v>
      </c>
      <c r="B172" s="2" t="s">
        <v>161</v>
      </c>
      <c r="C172" s="2" t="s">
        <v>41</v>
      </c>
      <c r="D172" s="4">
        <v>45034</v>
      </c>
      <c r="E172" s="1">
        <v>0.6875</v>
      </c>
      <c r="F172" s="2" t="s">
        <v>31</v>
      </c>
      <c r="G172" s="2" t="s">
        <v>12</v>
      </c>
    </row>
    <row r="173" spans="1:7" x14ac:dyDescent="0.3">
      <c r="A173" s="2" t="s">
        <v>237</v>
      </c>
      <c r="B173" s="2" t="s">
        <v>178</v>
      </c>
      <c r="C173" s="2" t="s">
        <v>15</v>
      </c>
      <c r="D173" s="4">
        <v>44994</v>
      </c>
      <c r="E173" s="1">
        <v>0.67708333333333337</v>
      </c>
      <c r="F173" s="2" t="s">
        <v>22</v>
      </c>
      <c r="G173" s="2" t="s">
        <v>4</v>
      </c>
    </row>
    <row r="174" spans="1:7" x14ac:dyDescent="0.3">
      <c r="A174" s="2" t="s">
        <v>238</v>
      </c>
      <c r="B174" s="2" t="s">
        <v>59</v>
      </c>
      <c r="C174" s="2" t="s">
        <v>67</v>
      </c>
      <c r="D174" s="4">
        <v>45081</v>
      </c>
      <c r="E174" s="1">
        <v>0.5625</v>
      </c>
      <c r="F174" s="2" t="s">
        <v>22</v>
      </c>
      <c r="G174" s="2" t="s">
        <v>34</v>
      </c>
    </row>
    <row r="175" spans="1:7" x14ac:dyDescent="0.3">
      <c r="A175" s="2" t="s">
        <v>239</v>
      </c>
      <c r="B175" s="2" t="s">
        <v>43</v>
      </c>
      <c r="C175" s="2" t="s">
        <v>41</v>
      </c>
      <c r="D175" s="4">
        <v>45230</v>
      </c>
      <c r="E175" s="1">
        <v>0.46875</v>
      </c>
      <c r="F175" s="2" t="s">
        <v>31</v>
      </c>
      <c r="G175" s="2" t="s">
        <v>12</v>
      </c>
    </row>
    <row r="176" spans="1:7" x14ac:dyDescent="0.3">
      <c r="A176" s="2" t="s">
        <v>240</v>
      </c>
      <c r="B176" s="2" t="s">
        <v>170</v>
      </c>
      <c r="C176" s="2" t="s">
        <v>18</v>
      </c>
      <c r="D176" s="4">
        <v>45221</v>
      </c>
      <c r="E176" s="1">
        <v>0.70833333333333337</v>
      </c>
      <c r="F176" s="2" t="s">
        <v>11</v>
      </c>
      <c r="G176" s="2" t="s">
        <v>12</v>
      </c>
    </row>
    <row r="177" spans="1:7" x14ac:dyDescent="0.3">
      <c r="A177" s="2" t="s">
        <v>241</v>
      </c>
      <c r="B177" s="2" t="s">
        <v>85</v>
      </c>
      <c r="C177" s="2" t="s">
        <v>2</v>
      </c>
      <c r="D177" s="4">
        <v>45042</v>
      </c>
      <c r="E177" s="1">
        <v>0.39583333333333331</v>
      </c>
      <c r="F177" s="2" t="s">
        <v>3</v>
      </c>
      <c r="G177" s="2" t="s">
        <v>8</v>
      </c>
    </row>
    <row r="178" spans="1:7" x14ac:dyDescent="0.3">
      <c r="A178" s="2" t="s">
        <v>242</v>
      </c>
      <c r="B178" s="2" t="s">
        <v>132</v>
      </c>
      <c r="C178" s="2" t="s">
        <v>25</v>
      </c>
      <c r="D178" s="4">
        <v>45154</v>
      </c>
      <c r="E178" s="1">
        <v>0.52083333333333337</v>
      </c>
      <c r="F178" s="2" t="s">
        <v>3</v>
      </c>
      <c r="G178" s="2" t="s">
        <v>12</v>
      </c>
    </row>
    <row r="179" spans="1:7" x14ac:dyDescent="0.3">
      <c r="A179" s="2" t="s">
        <v>243</v>
      </c>
      <c r="B179" s="2" t="s">
        <v>144</v>
      </c>
      <c r="C179" s="2" t="s">
        <v>25</v>
      </c>
      <c r="D179" s="4">
        <v>44943</v>
      </c>
      <c r="E179" s="1">
        <v>0.55208333333333337</v>
      </c>
      <c r="F179" s="2" t="s">
        <v>22</v>
      </c>
      <c r="G179" s="2" t="s">
        <v>12</v>
      </c>
    </row>
    <row r="180" spans="1:7" x14ac:dyDescent="0.3">
      <c r="A180" s="2" t="s">
        <v>244</v>
      </c>
      <c r="B180" s="2" t="s">
        <v>245</v>
      </c>
      <c r="C180" s="2" t="s">
        <v>15</v>
      </c>
      <c r="D180" s="4">
        <v>44993</v>
      </c>
      <c r="E180" s="1">
        <v>0.51041666666666663</v>
      </c>
      <c r="F180" s="2" t="s">
        <v>22</v>
      </c>
      <c r="G180" s="2" t="s">
        <v>34</v>
      </c>
    </row>
    <row r="181" spans="1:7" x14ac:dyDescent="0.3">
      <c r="A181" s="2" t="s">
        <v>246</v>
      </c>
      <c r="B181" s="2" t="s">
        <v>156</v>
      </c>
      <c r="C181" s="2" t="s">
        <v>47</v>
      </c>
      <c r="D181" s="4">
        <v>44933</v>
      </c>
      <c r="E181" s="1">
        <v>0.45833333333333331</v>
      </c>
      <c r="F181" s="2" t="s">
        <v>11</v>
      </c>
      <c r="G181" s="2" t="s">
        <v>12</v>
      </c>
    </row>
    <row r="182" spans="1:7" x14ac:dyDescent="0.3">
      <c r="A182" s="2" t="s">
        <v>247</v>
      </c>
      <c r="B182" s="2" t="s">
        <v>65</v>
      </c>
      <c r="C182" s="2" t="s">
        <v>7</v>
      </c>
      <c r="D182" s="4">
        <v>45172</v>
      </c>
      <c r="E182" s="1">
        <v>0.55208333333333337</v>
      </c>
      <c r="F182" s="2" t="s">
        <v>19</v>
      </c>
      <c r="G182" s="2" t="s">
        <v>34</v>
      </c>
    </row>
    <row r="183" spans="1:7" x14ac:dyDescent="0.3">
      <c r="A183" s="2" t="s">
        <v>248</v>
      </c>
      <c r="B183" s="2" t="s">
        <v>135</v>
      </c>
      <c r="C183" s="2" t="s">
        <v>47</v>
      </c>
      <c r="D183" s="4">
        <v>45028</v>
      </c>
      <c r="E183" s="1">
        <v>0.33333333333333331</v>
      </c>
      <c r="F183" s="2" t="s">
        <v>31</v>
      </c>
      <c r="G183" s="2" t="s">
        <v>34</v>
      </c>
    </row>
    <row r="184" spans="1:7" x14ac:dyDescent="0.3">
      <c r="A184" s="2" t="s">
        <v>249</v>
      </c>
      <c r="B184" s="2" t="s">
        <v>17</v>
      </c>
      <c r="C184" s="2" t="s">
        <v>7</v>
      </c>
      <c r="D184" s="4">
        <v>44960</v>
      </c>
      <c r="E184" s="1">
        <v>0.67708333333333337</v>
      </c>
      <c r="F184" s="2" t="s">
        <v>22</v>
      </c>
      <c r="G184" s="2" t="s">
        <v>34</v>
      </c>
    </row>
    <row r="185" spans="1:7" x14ac:dyDescent="0.3">
      <c r="A185" s="2" t="s">
        <v>250</v>
      </c>
      <c r="B185" s="2" t="s">
        <v>227</v>
      </c>
      <c r="C185" s="2" t="s">
        <v>47</v>
      </c>
      <c r="D185" s="4">
        <v>44983</v>
      </c>
      <c r="E185" s="1">
        <v>0.73958333333333337</v>
      </c>
      <c r="F185" s="2" t="s">
        <v>3</v>
      </c>
      <c r="G185" s="2" t="s">
        <v>34</v>
      </c>
    </row>
    <row r="186" spans="1:7" x14ac:dyDescent="0.3">
      <c r="A186" s="2" t="s">
        <v>251</v>
      </c>
      <c r="B186" s="2" t="s">
        <v>170</v>
      </c>
      <c r="C186" s="2" t="s">
        <v>2</v>
      </c>
      <c r="D186" s="4">
        <v>45006</v>
      </c>
      <c r="E186" s="1">
        <v>0.58333333333333337</v>
      </c>
      <c r="F186" s="2" t="s">
        <v>11</v>
      </c>
      <c r="G186" s="2" t="s">
        <v>4</v>
      </c>
    </row>
    <row r="187" spans="1:7" x14ac:dyDescent="0.3">
      <c r="A187" s="2" t="s">
        <v>252</v>
      </c>
      <c r="B187" s="2" t="s">
        <v>116</v>
      </c>
      <c r="C187" s="2" t="s">
        <v>18</v>
      </c>
      <c r="D187" s="4">
        <v>45012</v>
      </c>
      <c r="E187" s="1">
        <v>0.71875</v>
      </c>
      <c r="F187" s="2" t="s">
        <v>31</v>
      </c>
      <c r="G187" s="2" t="s">
        <v>8</v>
      </c>
    </row>
    <row r="188" spans="1:7" x14ac:dyDescent="0.3">
      <c r="A188" s="2" t="s">
        <v>253</v>
      </c>
      <c r="B188" s="2" t="s">
        <v>110</v>
      </c>
      <c r="C188" s="2" t="s">
        <v>18</v>
      </c>
      <c r="D188" s="4">
        <v>44970</v>
      </c>
      <c r="E188" s="1">
        <v>0.52083333333333337</v>
      </c>
      <c r="F188" s="2" t="s">
        <v>11</v>
      </c>
      <c r="G188" s="2" t="s">
        <v>4</v>
      </c>
    </row>
    <row r="189" spans="1:7" x14ac:dyDescent="0.3">
      <c r="A189" s="2" t="s">
        <v>254</v>
      </c>
      <c r="B189" s="2" t="s">
        <v>105</v>
      </c>
      <c r="C189" s="2" t="s">
        <v>41</v>
      </c>
      <c r="D189" s="4">
        <v>45028</v>
      </c>
      <c r="E189" s="1">
        <v>0.6875</v>
      </c>
      <c r="F189" s="2" t="s">
        <v>31</v>
      </c>
      <c r="G189" s="2" t="s">
        <v>12</v>
      </c>
    </row>
    <row r="190" spans="1:7" x14ac:dyDescent="0.3">
      <c r="A190" s="2" t="s">
        <v>255</v>
      </c>
      <c r="B190" s="2" t="s">
        <v>33</v>
      </c>
      <c r="C190" s="2" t="s">
        <v>28</v>
      </c>
      <c r="D190" s="4">
        <v>45204</v>
      </c>
      <c r="E190" s="1">
        <v>0.5625</v>
      </c>
      <c r="F190" s="2" t="s">
        <v>31</v>
      </c>
      <c r="G190" s="2" t="s">
        <v>4</v>
      </c>
    </row>
    <row r="191" spans="1:7" x14ac:dyDescent="0.3">
      <c r="A191" s="2" t="s">
        <v>256</v>
      </c>
      <c r="B191" s="2" t="s">
        <v>38</v>
      </c>
      <c r="C191" s="2" t="s">
        <v>18</v>
      </c>
      <c r="D191" s="4">
        <v>45246</v>
      </c>
      <c r="E191" s="1">
        <v>0.63541666666666663</v>
      </c>
      <c r="F191" s="2" t="s">
        <v>22</v>
      </c>
      <c r="G191" s="2" t="s">
        <v>4</v>
      </c>
    </row>
    <row r="192" spans="1:7" x14ac:dyDescent="0.3">
      <c r="A192" s="2" t="s">
        <v>257</v>
      </c>
      <c r="B192" s="2" t="s">
        <v>49</v>
      </c>
      <c r="C192" s="2" t="s">
        <v>18</v>
      </c>
      <c r="D192" s="4">
        <v>45028</v>
      </c>
      <c r="E192" s="1">
        <v>0.66666666666666663</v>
      </c>
      <c r="F192" s="2" t="s">
        <v>11</v>
      </c>
      <c r="G192" s="2" t="s">
        <v>12</v>
      </c>
    </row>
    <row r="193" spans="1:7" x14ac:dyDescent="0.3">
      <c r="A193" s="2" t="s">
        <v>258</v>
      </c>
      <c r="B193" s="2" t="s">
        <v>245</v>
      </c>
      <c r="C193" s="2" t="s">
        <v>67</v>
      </c>
      <c r="D193" s="4">
        <v>45169</v>
      </c>
      <c r="E193" s="1">
        <v>0.59375</v>
      </c>
      <c r="F193" s="2" t="s">
        <v>11</v>
      </c>
      <c r="G193" s="2" t="s">
        <v>12</v>
      </c>
    </row>
    <row r="194" spans="1:7" x14ac:dyDescent="0.3">
      <c r="A194" s="2" t="s">
        <v>259</v>
      </c>
      <c r="B194" s="2" t="s">
        <v>93</v>
      </c>
      <c r="C194" s="2" t="s">
        <v>67</v>
      </c>
      <c r="D194" s="4">
        <v>45184</v>
      </c>
      <c r="E194" s="1">
        <v>0.34375</v>
      </c>
      <c r="F194" s="2" t="s">
        <v>3</v>
      </c>
      <c r="G194" s="2" t="s">
        <v>12</v>
      </c>
    </row>
    <row r="195" spans="1:7" x14ac:dyDescent="0.3">
      <c r="A195" s="2" t="s">
        <v>260</v>
      </c>
      <c r="B195" s="2" t="s">
        <v>147</v>
      </c>
      <c r="C195" s="2" t="s">
        <v>41</v>
      </c>
      <c r="D195" s="4">
        <v>45022</v>
      </c>
      <c r="E195" s="1">
        <v>0.53125</v>
      </c>
      <c r="F195" s="2" t="s">
        <v>3</v>
      </c>
      <c r="G195" s="2" t="s">
        <v>4</v>
      </c>
    </row>
    <row r="196" spans="1:7" x14ac:dyDescent="0.3">
      <c r="A196" s="2" t="s">
        <v>261</v>
      </c>
      <c r="B196" s="2" t="s">
        <v>10</v>
      </c>
      <c r="C196" s="2" t="s">
        <v>28</v>
      </c>
      <c r="D196" s="4">
        <v>45157</v>
      </c>
      <c r="E196" s="1">
        <v>0.71875</v>
      </c>
      <c r="F196" s="2" t="s">
        <v>22</v>
      </c>
      <c r="G196" s="2" t="s">
        <v>4</v>
      </c>
    </row>
    <row r="197" spans="1:7" x14ac:dyDescent="0.3">
      <c r="A197" s="2" t="s">
        <v>262</v>
      </c>
      <c r="B197" s="2" t="s">
        <v>21</v>
      </c>
      <c r="C197" s="2" t="s">
        <v>15</v>
      </c>
      <c r="D197" s="4">
        <v>45225</v>
      </c>
      <c r="E197" s="1">
        <v>0.40625</v>
      </c>
      <c r="F197" s="2" t="s">
        <v>22</v>
      </c>
      <c r="G197" s="2" t="s">
        <v>12</v>
      </c>
    </row>
    <row r="198" spans="1:7" x14ac:dyDescent="0.3">
      <c r="A198" s="2" t="s">
        <v>263</v>
      </c>
      <c r="B198" s="2" t="s">
        <v>24</v>
      </c>
      <c r="C198" s="2" t="s">
        <v>67</v>
      </c>
      <c r="D198" s="4">
        <v>45017</v>
      </c>
      <c r="E198" s="1">
        <v>0.5625</v>
      </c>
      <c r="F198" s="2" t="s">
        <v>19</v>
      </c>
      <c r="G198" s="2" t="s">
        <v>8</v>
      </c>
    </row>
    <row r="199" spans="1:7" x14ac:dyDescent="0.3">
      <c r="A199" s="2" t="s">
        <v>264</v>
      </c>
      <c r="B199" s="2" t="s">
        <v>36</v>
      </c>
      <c r="C199" s="2" t="s">
        <v>15</v>
      </c>
      <c r="D199" s="4">
        <v>45061</v>
      </c>
      <c r="E199" s="1">
        <v>0.35416666666666669</v>
      </c>
      <c r="F199" s="2" t="s">
        <v>3</v>
      </c>
      <c r="G199" s="2" t="s">
        <v>8</v>
      </c>
    </row>
    <row r="200" spans="1:7" x14ac:dyDescent="0.3">
      <c r="A200" s="2" t="s">
        <v>265</v>
      </c>
      <c r="B200" s="2" t="s">
        <v>144</v>
      </c>
      <c r="C200" s="2" t="s">
        <v>52</v>
      </c>
      <c r="D200" s="4">
        <v>45047</v>
      </c>
      <c r="E200" s="1">
        <v>0.53125</v>
      </c>
      <c r="F200" s="2" t="s">
        <v>31</v>
      </c>
      <c r="G200" s="2" t="s">
        <v>34</v>
      </c>
    </row>
    <row r="201" spans="1:7" x14ac:dyDescent="0.3">
      <c r="A201" s="2" t="s">
        <v>266</v>
      </c>
      <c r="B201" s="2" t="s">
        <v>156</v>
      </c>
      <c r="C201" s="2" t="s">
        <v>67</v>
      </c>
      <c r="D201" s="4">
        <v>45290</v>
      </c>
      <c r="E201" s="1">
        <v>0.42708333333333331</v>
      </c>
      <c r="F201" s="2" t="s">
        <v>11</v>
      </c>
      <c r="G201" s="2"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0617-6F1D-4901-9366-1A3A2EBB0D00}">
  <dimension ref="A1:J201"/>
  <sheetViews>
    <sheetView workbookViewId="0">
      <selection sqref="A1:XFD1048576"/>
    </sheetView>
  </sheetViews>
  <sheetFormatPr defaultRowHeight="14.4" x14ac:dyDescent="0.3"/>
  <cols>
    <col min="1" max="1" width="6.109375" bestFit="1" customWidth="1"/>
    <col min="2" max="2" width="9.6640625" bestFit="1" customWidth="1"/>
    <col min="3" max="3" width="12.44140625" bestFit="1" customWidth="1"/>
    <col min="4" max="4" width="10.5546875" bestFit="1" customWidth="1"/>
    <col min="5" max="5" width="14.88671875" bestFit="1" customWidth="1"/>
    <col min="6" max="6" width="8" bestFit="1" customWidth="1"/>
    <col min="7" max="7" width="16.44140625" bestFit="1" customWidth="1"/>
    <col min="8" max="8" width="14.88671875" bestFit="1" customWidth="1"/>
    <col min="10" max="10" width="13.5546875" bestFit="1" customWidth="1"/>
  </cols>
  <sheetData>
    <row r="1" spans="1:10" x14ac:dyDescent="0.3">
      <c r="A1" s="3" t="s">
        <v>818</v>
      </c>
      <c r="B1" s="3" t="s">
        <v>819</v>
      </c>
      <c r="C1" s="3" t="s">
        <v>820</v>
      </c>
      <c r="D1" s="3" t="s">
        <v>821</v>
      </c>
      <c r="E1" s="3" t="s">
        <v>867</v>
      </c>
      <c r="F1" s="3" t="s">
        <v>822</v>
      </c>
      <c r="G1" s="3" t="s">
        <v>823</v>
      </c>
      <c r="H1" s="3" t="s">
        <v>824</v>
      </c>
    </row>
    <row r="2" spans="1:10" x14ac:dyDescent="0.3">
      <c r="A2" s="2" t="s">
        <v>612</v>
      </c>
      <c r="B2" s="2" t="s">
        <v>1</v>
      </c>
      <c r="C2" s="2" t="s">
        <v>267</v>
      </c>
      <c r="D2" s="4">
        <v>45147</v>
      </c>
      <c r="E2" s="4" t="str">
        <f>TEXT(D2,"mmmm-yyyy")</f>
        <v>August-2023</v>
      </c>
      <c r="F2" s="2">
        <v>3941.97</v>
      </c>
      <c r="G2" s="2" t="s">
        <v>613</v>
      </c>
      <c r="H2" s="2" t="s">
        <v>614</v>
      </c>
    </row>
    <row r="3" spans="1:10" x14ac:dyDescent="0.3">
      <c r="A3" s="2" t="s">
        <v>615</v>
      </c>
      <c r="B3" s="2" t="s">
        <v>6</v>
      </c>
      <c r="C3" s="2" t="s">
        <v>270</v>
      </c>
      <c r="D3" s="4">
        <v>45086</v>
      </c>
      <c r="E3" s="4" t="str">
        <f t="shared" ref="E3:E66" si="0">TEXT(D3,"mmmm-yyyy")</f>
        <v>June-2023</v>
      </c>
      <c r="F3" s="2">
        <v>4158.4399999999996</v>
      </c>
      <c r="G3" s="2" t="s">
        <v>613</v>
      </c>
      <c r="H3" s="2" t="s">
        <v>616</v>
      </c>
    </row>
    <row r="4" spans="1:10" x14ac:dyDescent="0.3">
      <c r="A4" s="2" t="s">
        <v>617</v>
      </c>
      <c r="B4" s="2" t="s">
        <v>10</v>
      </c>
      <c r="C4" s="2" t="s">
        <v>273</v>
      </c>
      <c r="D4" s="4">
        <v>45105</v>
      </c>
      <c r="E4" s="4" t="str">
        <f t="shared" si="0"/>
        <v>June-2023</v>
      </c>
      <c r="F4" s="2">
        <v>3731.55</v>
      </c>
      <c r="G4" s="2" t="s">
        <v>613</v>
      </c>
      <c r="H4" s="2" t="s">
        <v>616</v>
      </c>
    </row>
    <row r="5" spans="1:10" x14ac:dyDescent="0.3">
      <c r="A5" s="2" t="s">
        <v>618</v>
      </c>
      <c r="B5" s="2" t="s">
        <v>14</v>
      </c>
      <c r="C5" s="2" t="s">
        <v>275</v>
      </c>
      <c r="D5" s="4">
        <v>45170</v>
      </c>
      <c r="E5" s="4" t="str">
        <f t="shared" si="0"/>
        <v>September-2023</v>
      </c>
      <c r="F5" s="2">
        <v>4799.8599999999997</v>
      </c>
      <c r="G5" s="2" t="s">
        <v>613</v>
      </c>
      <c r="H5" s="2" t="s">
        <v>619</v>
      </c>
      <c r="J5" s="5"/>
    </row>
    <row r="6" spans="1:10" x14ac:dyDescent="0.3">
      <c r="A6" s="2" t="s">
        <v>620</v>
      </c>
      <c r="B6" s="2" t="s">
        <v>17</v>
      </c>
      <c r="C6" s="2" t="s">
        <v>276</v>
      </c>
      <c r="D6" s="4">
        <v>45113</v>
      </c>
      <c r="E6" s="4" t="str">
        <f t="shared" si="0"/>
        <v>July-2023</v>
      </c>
      <c r="F6" s="2">
        <v>582.04999999999995</v>
      </c>
      <c r="G6" s="2" t="s">
        <v>621</v>
      </c>
      <c r="H6" s="2" t="s">
        <v>614</v>
      </c>
      <c r="J6" s="5"/>
    </row>
    <row r="7" spans="1:10" x14ac:dyDescent="0.3">
      <c r="A7" s="2" t="s">
        <v>622</v>
      </c>
      <c r="B7" s="2" t="s">
        <v>21</v>
      </c>
      <c r="C7" s="2" t="s">
        <v>278</v>
      </c>
      <c r="D7" s="4">
        <v>45096</v>
      </c>
      <c r="E7" s="4" t="str">
        <f t="shared" si="0"/>
        <v>June-2023</v>
      </c>
      <c r="F7" s="2">
        <v>1381</v>
      </c>
      <c r="G7" s="2" t="s">
        <v>613</v>
      </c>
      <c r="H7" s="2" t="s">
        <v>614</v>
      </c>
      <c r="J7" s="5"/>
    </row>
    <row r="8" spans="1:10" x14ac:dyDescent="0.3">
      <c r="A8" s="2" t="s">
        <v>623</v>
      </c>
      <c r="B8" s="2" t="s">
        <v>24</v>
      </c>
      <c r="C8" s="2" t="s">
        <v>279</v>
      </c>
      <c r="D8" s="4">
        <v>45025</v>
      </c>
      <c r="E8" s="4" t="str">
        <f t="shared" si="0"/>
        <v>April-2023</v>
      </c>
      <c r="F8" s="2">
        <v>534.03</v>
      </c>
      <c r="G8" s="2" t="s">
        <v>624</v>
      </c>
      <c r="H8" s="2" t="s">
        <v>619</v>
      </c>
      <c r="J8" s="5"/>
    </row>
    <row r="9" spans="1:10" x14ac:dyDescent="0.3">
      <c r="A9" s="2" t="s">
        <v>625</v>
      </c>
      <c r="B9" s="2" t="s">
        <v>27</v>
      </c>
      <c r="C9" s="2" t="s">
        <v>280</v>
      </c>
      <c r="D9" s="4">
        <v>45070</v>
      </c>
      <c r="E9" s="4" t="str">
        <f t="shared" si="0"/>
        <v>May-2023</v>
      </c>
      <c r="F9" s="2">
        <v>3413.64</v>
      </c>
      <c r="G9" s="2" t="s">
        <v>624</v>
      </c>
      <c r="H9" s="2" t="s">
        <v>619</v>
      </c>
      <c r="J9" s="5"/>
    </row>
    <row r="10" spans="1:10" x14ac:dyDescent="0.3">
      <c r="A10" s="2" t="s">
        <v>626</v>
      </c>
      <c r="B10" s="2" t="s">
        <v>30</v>
      </c>
      <c r="C10" s="2" t="s">
        <v>282</v>
      </c>
      <c r="D10" s="4">
        <v>44990</v>
      </c>
      <c r="E10" s="4" t="str">
        <f t="shared" si="0"/>
        <v>March-2023</v>
      </c>
      <c r="F10" s="2">
        <v>4541.1400000000003</v>
      </c>
      <c r="G10" s="2" t="s">
        <v>621</v>
      </c>
      <c r="H10" s="2" t="s">
        <v>616</v>
      </c>
    </row>
    <row r="11" spans="1:10" x14ac:dyDescent="0.3">
      <c r="A11" s="2" t="s">
        <v>627</v>
      </c>
      <c r="B11" s="2" t="s">
        <v>33</v>
      </c>
      <c r="C11" s="2" t="s">
        <v>283</v>
      </c>
      <c r="D11" s="4">
        <v>44939</v>
      </c>
      <c r="E11" s="4" t="str">
        <f t="shared" si="0"/>
        <v>January-2023</v>
      </c>
      <c r="F11" s="2">
        <v>1595.67</v>
      </c>
      <c r="G11" s="2" t="s">
        <v>624</v>
      </c>
      <c r="H11" s="2" t="s">
        <v>616</v>
      </c>
    </row>
    <row r="12" spans="1:10" x14ac:dyDescent="0.3">
      <c r="A12" s="2" t="s">
        <v>628</v>
      </c>
      <c r="B12" s="2" t="s">
        <v>36</v>
      </c>
      <c r="C12" s="2" t="s">
        <v>284</v>
      </c>
      <c r="D12" s="4">
        <v>45242</v>
      </c>
      <c r="E12" s="4" t="str">
        <f t="shared" si="0"/>
        <v>November-2023</v>
      </c>
      <c r="F12" s="2">
        <v>4671.66</v>
      </c>
      <c r="G12" s="2" t="s">
        <v>624</v>
      </c>
      <c r="H12" s="2" t="s">
        <v>619</v>
      </c>
    </row>
    <row r="13" spans="1:10" ht="14.4" customHeight="1" x14ac:dyDescent="0.3">
      <c r="A13" s="2" t="s">
        <v>629</v>
      </c>
      <c r="B13" s="2" t="s">
        <v>38</v>
      </c>
      <c r="C13" s="2" t="s">
        <v>285</v>
      </c>
      <c r="D13" s="4">
        <v>45053</v>
      </c>
      <c r="E13" s="4" t="str">
        <f t="shared" si="0"/>
        <v>May-2023</v>
      </c>
      <c r="F13" s="2">
        <v>771.2</v>
      </c>
      <c r="G13" s="2" t="s">
        <v>613</v>
      </c>
      <c r="H13" s="2" t="s">
        <v>614</v>
      </c>
    </row>
    <row r="14" spans="1:10" x14ac:dyDescent="0.3">
      <c r="A14" s="2" t="s">
        <v>630</v>
      </c>
      <c r="B14" s="2" t="s">
        <v>40</v>
      </c>
      <c r="C14" s="2" t="s">
        <v>286</v>
      </c>
      <c r="D14" s="4">
        <v>45154</v>
      </c>
      <c r="E14" s="4" t="str">
        <f t="shared" si="0"/>
        <v>August-2023</v>
      </c>
      <c r="F14" s="2">
        <v>4704.96</v>
      </c>
      <c r="G14" s="2" t="s">
        <v>624</v>
      </c>
      <c r="H14" s="2" t="s">
        <v>616</v>
      </c>
    </row>
    <row r="15" spans="1:10" x14ac:dyDescent="0.3">
      <c r="A15" s="2" t="s">
        <v>631</v>
      </c>
      <c r="B15" s="2" t="s">
        <v>43</v>
      </c>
      <c r="C15" s="2" t="s">
        <v>287</v>
      </c>
      <c r="D15" s="4">
        <v>45071</v>
      </c>
      <c r="E15" s="4" t="str">
        <f t="shared" si="0"/>
        <v>May-2023</v>
      </c>
      <c r="F15" s="2">
        <v>2082.3000000000002</v>
      </c>
      <c r="G15" s="2" t="s">
        <v>621</v>
      </c>
      <c r="H15" s="2" t="s">
        <v>616</v>
      </c>
    </row>
    <row r="16" spans="1:10" x14ac:dyDescent="0.3">
      <c r="A16" s="2" t="s">
        <v>632</v>
      </c>
      <c r="B16" s="2" t="s">
        <v>45</v>
      </c>
      <c r="C16" s="2" t="s">
        <v>288</v>
      </c>
      <c r="D16" s="4">
        <v>44941</v>
      </c>
      <c r="E16" s="4" t="str">
        <f t="shared" si="0"/>
        <v>January-2023</v>
      </c>
      <c r="F16" s="2">
        <v>956.39</v>
      </c>
      <c r="G16" s="2" t="s">
        <v>613</v>
      </c>
      <c r="H16" s="2" t="s">
        <v>614</v>
      </c>
    </row>
    <row r="17" spans="1:8" x14ac:dyDescent="0.3">
      <c r="A17" s="2" t="s">
        <v>633</v>
      </c>
      <c r="B17" s="2" t="s">
        <v>27</v>
      </c>
      <c r="C17" s="2" t="s">
        <v>289</v>
      </c>
      <c r="D17" s="4">
        <v>45107</v>
      </c>
      <c r="E17" s="4" t="str">
        <f t="shared" si="0"/>
        <v>June-2023</v>
      </c>
      <c r="F17" s="2">
        <v>2686.42</v>
      </c>
      <c r="G17" s="2" t="s">
        <v>613</v>
      </c>
      <c r="H17" s="2" t="s">
        <v>616</v>
      </c>
    </row>
    <row r="18" spans="1:8" x14ac:dyDescent="0.3">
      <c r="A18" s="2" t="s">
        <v>634</v>
      </c>
      <c r="B18" s="2" t="s">
        <v>49</v>
      </c>
      <c r="C18" s="2" t="s">
        <v>290</v>
      </c>
      <c r="D18" s="4">
        <v>45118</v>
      </c>
      <c r="E18" s="4" t="str">
        <f t="shared" si="0"/>
        <v>July-2023</v>
      </c>
      <c r="F18" s="2">
        <v>1655.49</v>
      </c>
      <c r="G18" s="2" t="s">
        <v>621</v>
      </c>
      <c r="H18" s="2" t="s">
        <v>614</v>
      </c>
    </row>
    <row r="19" spans="1:8" x14ac:dyDescent="0.3">
      <c r="A19" s="2" t="s">
        <v>635</v>
      </c>
      <c r="B19" s="2" t="s">
        <v>36</v>
      </c>
      <c r="C19" s="2" t="s">
        <v>291</v>
      </c>
      <c r="D19" s="4">
        <v>45244</v>
      </c>
      <c r="E19" s="4" t="str">
        <f t="shared" si="0"/>
        <v>November-2023</v>
      </c>
      <c r="F19" s="2">
        <v>1781.93</v>
      </c>
      <c r="G19" s="2" t="s">
        <v>613</v>
      </c>
      <c r="H19" s="2" t="s">
        <v>614</v>
      </c>
    </row>
    <row r="20" spans="1:8" x14ac:dyDescent="0.3">
      <c r="A20" s="2" t="s">
        <v>636</v>
      </c>
      <c r="B20" s="2" t="s">
        <v>38</v>
      </c>
      <c r="C20" s="2" t="s">
        <v>292</v>
      </c>
      <c r="D20" s="4">
        <v>44963</v>
      </c>
      <c r="E20" s="4" t="str">
        <f t="shared" si="0"/>
        <v>February-2023</v>
      </c>
      <c r="F20" s="2">
        <v>1882.8</v>
      </c>
      <c r="G20" s="2" t="s">
        <v>613</v>
      </c>
      <c r="H20" s="2" t="s">
        <v>614</v>
      </c>
    </row>
    <row r="21" spans="1:8" x14ac:dyDescent="0.3">
      <c r="A21" s="2" t="s">
        <v>637</v>
      </c>
      <c r="B21" s="2" t="s">
        <v>54</v>
      </c>
      <c r="C21" s="2" t="s">
        <v>294</v>
      </c>
      <c r="D21" s="4">
        <v>45265</v>
      </c>
      <c r="E21" s="4" t="str">
        <f t="shared" si="0"/>
        <v>December-2023</v>
      </c>
      <c r="F21" s="2">
        <v>4113.62</v>
      </c>
      <c r="G21" s="2" t="s">
        <v>621</v>
      </c>
      <c r="H21" s="2" t="s">
        <v>619</v>
      </c>
    </row>
    <row r="22" spans="1:8" x14ac:dyDescent="0.3">
      <c r="A22" s="2" t="s">
        <v>638</v>
      </c>
      <c r="B22" s="2" t="s">
        <v>56</v>
      </c>
      <c r="C22" s="2" t="s">
        <v>295</v>
      </c>
      <c r="D22" s="4">
        <v>45040</v>
      </c>
      <c r="E22" s="4" t="str">
        <f t="shared" si="0"/>
        <v>April-2023</v>
      </c>
      <c r="F22" s="2">
        <v>2926.23</v>
      </c>
      <c r="G22" s="2" t="s">
        <v>613</v>
      </c>
      <c r="H22" s="2" t="s">
        <v>619</v>
      </c>
    </row>
    <row r="23" spans="1:8" x14ac:dyDescent="0.3">
      <c r="A23" s="2" t="s">
        <v>639</v>
      </c>
      <c r="B23" s="2" t="s">
        <v>33</v>
      </c>
      <c r="C23" s="2" t="s">
        <v>296</v>
      </c>
      <c r="D23" s="4">
        <v>45244</v>
      </c>
      <c r="E23" s="4" t="str">
        <f t="shared" si="0"/>
        <v>November-2023</v>
      </c>
      <c r="F23" s="2">
        <v>1900.88</v>
      </c>
      <c r="G23" s="2" t="s">
        <v>621</v>
      </c>
      <c r="H23" s="2" t="s">
        <v>619</v>
      </c>
    </row>
    <row r="24" spans="1:8" x14ac:dyDescent="0.3">
      <c r="A24" s="2" t="s">
        <v>640</v>
      </c>
      <c r="B24" s="2" t="s">
        <v>59</v>
      </c>
      <c r="C24" s="2" t="s">
        <v>297</v>
      </c>
      <c r="D24" s="4">
        <v>45055</v>
      </c>
      <c r="E24" s="4" t="str">
        <f t="shared" si="0"/>
        <v>May-2023</v>
      </c>
      <c r="F24" s="2">
        <v>3246.5</v>
      </c>
      <c r="G24" s="2" t="s">
        <v>621</v>
      </c>
      <c r="H24" s="2" t="s">
        <v>614</v>
      </c>
    </row>
    <row r="25" spans="1:8" x14ac:dyDescent="0.3">
      <c r="A25" s="2" t="s">
        <v>641</v>
      </c>
      <c r="B25" s="2" t="s">
        <v>61</v>
      </c>
      <c r="C25" s="2" t="s">
        <v>298</v>
      </c>
      <c r="D25" s="4">
        <v>45098</v>
      </c>
      <c r="E25" s="4" t="str">
        <f t="shared" si="0"/>
        <v>June-2023</v>
      </c>
      <c r="F25" s="2">
        <v>3722.68</v>
      </c>
      <c r="G25" s="2" t="s">
        <v>624</v>
      </c>
      <c r="H25" s="2" t="s">
        <v>614</v>
      </c>
    </row>
    <row r="26" spans="1:8" x14ac:dyDescent="0.3">
      <c r="A26" s="2" t="s">
        <v>642</v>
      </c>
      <c r="B26" s="2" t="s">
        <v>63</v>
      </c>
      <c r="C26" s="2" t="s">
        <v>299</v>
      </c>
      <c r="D26" s="4">
        <v>44982</v>
      </c>
      <c r="E26" s="4" t="str">
        <f t="shared" si="0"/>
        <v>February-2023</v>
      </c>
      <c r="F26" s="2">
        <v>1726.81</v>
      </c>
      <c r="G26" s="2" t="s">
        <v>624</v>
      </c>
      <c r="H26" s="2" t="s">
        <v>619</v>
      </c>
    </row>
    <row r="27" spans="1:8" x14ac:dyDescent="0.3">
      <c r="A27" s="2" t="s">
        <v>643</v>
      </c>
      <c r="B27" s="2" t="s">
        <v>65</v>
      </c>
      <c r="C27" s="2" t="s">
        <v>300</v>
      </c>
      <c r="D27" s="4">
        <v>45002</v>
      </c>
      <c r="E27" s="4" t="str">
        <f t="shared" si="0"/>
        <v>March-2023</v>
      </c>
      <c r="F27" s="2">
        <v>2360.9699999999998</v>
      </c>
      <c r="G27" s="2" t="s">
        <v>613</v>
      </c>
      <c r="H27" s="2" t="s">
        <v>616</v>
      </c>
    </row>
    <row r="28" spans="1:8" x14ac:dyDescent="0.3">
      <c r="A28" s="2" t="s">
        <v>644</v>
      </c>
      <c r="B28" s="2" t="s">
        <v>33</v>
      </c>
      <c r="C28" s="2" t="s">
        <v>301</v>
      </c>
      <c r="D28" s="4">
        <v>45244</v>
      </c>
      <c r="E28" s="4" t="str">
        <f t="shared" si="0"/>
        <v>November-2023</v>
      </c>
      <c r="F28" s="2">
        <v>1048.49</v>
      </c>
      <c r="G28" s="2" t="s">
        <v>613</v>
      </c>
      <c r="H28" s="2" t="s">
        <v>614</v>
      </c>
    </row>
    <row r="29" spans="1:8" x14ac:dyDescent="0.3">
      <c r="A29" s="2" t="s">
        <v>645</v>
      </c>
      <c r="B29" s="2" t="s">
        <v>43</v>
      </c>
      <c r="C29" s="2" t="s">
        <v>302</v>
      </c>
      <c r="D29" s="4">
        <v>45228</v>
      </c>
      <c r="E29" s="4" t="str">
        <f t="shared" si="0"/>
        <v>October-2023</v>
      </c>
      <c r="F29" s="2">
        <v>1315.17</v>
      </c>
      <c r="G29" s="2" t="s">
        <v>621</v>
      </c>
      <c r="H29" s="2" t="s">
        <v>616</v>
      </c>
    </row>
    <row r="30" spans="1:8" x14ac:dyDescent="0.3">
      <c r="A30" s="2" t="s">
        <v>646</v>
      </c>
      <c r="B30" s="2" t="s">
        <v>27</v>
      </c>
      <c r="C30" s="2" t="s">
        <v>303</v>
      </c>
      <c r="D30" s="4">
        <v>45102</v>
      </c>
      <c r="E30" s="4" t="str">
        <f t="shared" si="0"/>
        <v>June-2023</v>
      </c>
      <c r="F30" s="2">
        <v>3565.03</v>
      </c>
      <c r="G30" s="2" t="s">
        <v>613</v>
      </c>
      <c r="H30" s="2" t="s">
        <v>616</v>
      </c>
    </row>
    <row r="31" spans="1:8" x14ac:dyDescent="0.3">
      <c r="A31" s="2" t="s">
        <v>647</v>
      </c>
      <c r="B31" s="2" t="s">
        <v>45</v>
      </c>
      <c r="C31" s="2" t="s">
        <v>304</v>
      </c>
      <c r="D31" s="4">
        <v>45167</v>
      </c>
      <c r="E31" s="4" t="str">
        <f t="shared" si="0"/>
        <v>August-2023</v>
      </c>
      <c r="F31" s="2">
        <v>1316.47</v>
      </c>
      <c r="G31" s="2" t="s">
        <v>621</v>
      </c>
      <c r="H31" s="2" t="s">
        <v>614</v>
      </c>
    </row>
    <row r="32" spans="1:8" x14ac:dyDescent="0.3">
      <c r="A32" s="2" t="s">
        <v>648</v>
      </c>
      <c r="B32" s="2" t="s">
        <v>45</v>
      </c>
      <c r="C32" s="2" t="s">
        <v>305</v>
      </c>
      <c r="D32" s="4">
        <v>45020</v>
      </c>
      <c r="E32" s="4" t="str">
        <f t="shared" si="0"/>
        <v>April-2023</v>
      </c>
      <c r="F32" s="2">
        <v>2863.24</v>
      </c>
      <c r="G32" s="2" t="s">
        <v>621</v>
      </c>
      <c r="H32" s="2" t="s">
        <v>614</v>
      </c>
    </row>
    <row r="33" spans="1:8" x14ac:dyDescent="0.3">
      <c r="A33" s="2" t="s">
        <v>649</v>
      </c>
      <c r="B33" s="2" t="s">
        <v>10</v>
      </c>
      <c r="C33" s="2" t="s">
        <v>306</v>
      </c>
      <c r="D33" s="4">
        <v>45236</v>
      </c>
      <c r="E33" s="4" t="str">
        <f t="shared" si="0"/>
        <v>November-2023</v>
      </c>
      <c r="F33" s="2">
        <v>3690.71</v>
      </c>
      <c r="G33" s="2" t="s">
        <v>613</v>
      </c>
      <c r="H33" s="2" t="s">
        <v>616</v>
      </c>
    </row>
    <row r="34" spans="1:8" x14ac:dyDescent="0.3">
      <c r="A34" s="2" t="s">
        <v>650</v>
      </c>
      <c r="B34" s="2" t="s">
        <v>74</v>
      </c>
      <c r="C34" s="2" t="s">
        <v>307</v>
      </c>
      <c r="D34" s="4">
        <v>45192</v>
      </c>
      <c r="E34" s="4" t="str">
        <f t="shared" si="0"/>
        <v>September-2023</v>
      </c>
      <c r="F34" s="2">
        <v>980.95</v>
      </c>
      <c r="G34" s="2" t="s">
        <v>621</v>
      </c>
      <c r="H34" s="2" t="s">
        <v>616</v>
      </c>
    </row>
    <row r="35" spans="1:8" x14ac:dyDescent="0.3">
      <c r="A35" s="2" t="s">
        <v>651</v>
      </c>
      <c r="B35" s="2" t="s">
        <v>30</v>
      </c>
      <c r="C35" s="2" t="s">
        <v>308</v>
      </c>
      <c r="D35" s="4">
        <v>45090</v>
      </c>
      <c r="E35" s="4" t="str">
        <f t="shared" si="0"/>
        <v>June-2023</v>
      </c>
      <c r="F35" s="2">
        <v>3052.9</v>
      </c>
      <c r="G35" s="2" t="s">
        <v>624</v>
      </c>
      <c r="H35" s="2" t="s">
        <v>619</v>
      </c>
    </row>
    <row r="36" spans="1:8" x14ac:dyDescent="0.3">
      <c r="A36" s="2" t="s">
        <v>652</v>
      </c>
      <c r="B36" s="2" t="s">
        <v>77</v>
      </c>
      <c r="C36" s="2" t="s">
        <v>309</v>
      </c>
      <c r="D36" s="4">
        <v>45034</v>
      </c>
      <c r="E36" s="4" t="str">
        <f t="shared" si="0"/>
        <v>April-2023</v>
      </c>
      <c r="F36" s="2">
        <v>1654.53</v>
      </c>
      <c r="G36" s="2" t="s">
        <v>613</v>
      </c>
      <c r="H36" s="2" t="s">
        <v>619</v>
      </c>
    </row>
    <row r="37" spans="1:8" x14ac:dyDescent="0.3">
      <c r="A37" s="2" t="s">
        <v>653</v>
      </c>
      <c r="B37" s="2" t="s">
        <v>79</v>
      </c>
      <c r="C37" s="2" t="s">
        <v>310</v>
      </c>
      <c r="D37" s="4">
        <v>44934</v>
      </c>
      <c r="E37" s="4" t="str">
        <f t="shared" si="0"/>
        <v>January-2023</v>
      </c>
      <c r="F37" s="2">
        <v>4833.17</v>
      </c>
      <c r="G37" s="2" t="s">
        <v>624</v>
      </c>
      <c r="H37" s="2" t="s">
        <v>614</v>
      </c>
    </row>
    <row r="38" spans="1:8" x14ac:dyDescent="0.3">
      <c r="A38" s="2" t="s">
        <v>654</v>
      </c>
      <c r="B38" s="2" t="s">
        <v>63</v>
      </c>
      <c r="C38" s="2" t="s">
        <v>311</v>
      </c>
      <c r="D38" s="4">
        <v>45013</v>
      </c>
      <c r="E38" s="4" t="str">
        <f t="shared" si="0"/>
        <v>March-2023</v>
      </c>
      <c r="F38" s="2">
        <v>2675.96</v>
      </c>
      <c r="G38" s="2" t="s">
        <v>613</v>
      </c>
      <c r="H38" s="2" t="s">
        <v>619</v>
      </c>
    </row>
    <row r="39" spans="1:8" x14ac:dyDescent="0.3">
      <c r="A39" s="2" t="s">
        <v>655</v>
      </c>
      <c r="B39" s="2" t="s">
        <v>49</v>
      </c>
      <c r="C39" s="2" t="s">
        <v>312</v>
      </c>
      <c r="D39" s="4">
        <v>44980</v>
      </c>
      <c r="E39" s="4" t="str">
        <f t="shared" si="0"/>
        <v>February-2023</v>
      </c>
      <c r="F39" s="2">
        <v>4126.97</v>
      </c>
      <c r="G39" s="2" t="s">
        <v>621</v>
      </c>
      <c r="H39" s="2" t="s">
        <v>619</v>
      </c>
    </row>
    <row r="40" spans="1:8" x14ac:dyDescent="0.3">
      <c r="A40" s="2" t="s">
        <v>656</v>
      </c>
      <c r="B40" s="2" t="s">
        <v>83</v>
      </c>
      <c r="C40" s="2" t="s">
        <v>313</v>
      </c>
      <c r="D40" s="4">
        <v>45033</v>
      </c>
      <c r="E40" s="4" t="str">
        <f t="shared" si="0"/>
        <v>April-2023</v>
      </c>
      <c r="F40" s="2">
        <v>2976.02</v>
      </c>
      <c r="G40" s="2" t="s">
        <v>613</v>
      </c>
      <c r="H40" s="2" t="s">
        <v>619</v>
      </c>
    </row>
    <row r="41" spans="1:8" x14ac:dyDescent="0.3">
      <c r="A41" s="2" t="s">
        <v>657</v>
      </c>
      <c r="B41" s="2" t="s">
        <v>85</v>
      </c>
      <c r="C41" s="2" t="s">
        <v>314</v>
      </c>
      <c r="D41" s="4">
        <v>45012</v>
      </c>
      <c r="E41" s="4" t="str">
        <f t="shared" si="0"/>
        <v>March-2023</v>
      </c>
      <c r="F41" s="2">
        <v>695.36</v>
      </c>
      <c r="G41" s="2" t="s">
        <v>624</v>
      </c>
      <c r="H41" s="2" t="s">
        <v>619</v>
      </c>
    </row>
    <row r="42" spans="1:8" x14ac:dyDescent="0.3">
      <c r="A42" s="2" t="s">
        <v>658</v>
      </c>
      <c r="B42" s="2" t="s">
        <v>33</v>
      </c>
      <c r="C42" s="2" t="s">
        <v>315</v>
      </c>
      <c r="D42" s="4">
        <v>44927</v>
      </c>
      <c r="E42" s="4" t="str">
        <f t="shared" si="0"/>
        <v>January-2023</v>
      </c>
      <c r="F42" s="2">
        <v>3349.18</v>
      </c>
      <c r="G42" s="2" t="s">
        <v>621</v>
      </c>
      <c r="H42" s="2" t="s">
        <v>616</v>
      </c>
    </row>
    <row r="43" spans="1:8" x14ac:dyDescent="0.3">
      <c r="A43" s="2" t="s">
        <v>659</v>
      </c>
      <c r="B43" s="2" t="s">
        <v>77</v>
      </c>
      <c r="C43" s="2" t="s">
        <v>316</v>
      </c>
      <c r="D43" s="4">
        <v>45006</v>
      </c>
      <c r="E43" s="4" t="str">
        <f t="shared" si="0"/>
        <v>March-2023</v>
      </c>
      <c r="F43" s="2">
        <v>4781.32</v>
      </c>
      <c r="G43" s="2" t="s">
        <v>613</v>
      </c>
      <c r="H43" s="2" t="s">
        <v>614</v>
      </c>
    </row>
    <row r="44" spans="1:8" x14ac:dyDescent="0.3">
      <c r="A44" s="2" t="s">
        <v>660</v>
      </c>
      <c r="B44" s="2" t="s">
        <v>1</v>
      </c>
      <c r="C44" s="2" t="s">
        <v>317</v>
      </c>
      <c r="D44" s="4">
        <v>45014</v>
      </c>
      <c r="E44" s="4" t="str">
        <f t="shared" si="0"/>
        <v>March-2023</v>
      </c>
      <c r="F44" s="2">
        <v>3207.25</v>
      </c>
      <c r="G44" s="2" t="s">
        <v>613</v>
      </c>
      <c r="H44" s="2" t="s">
        <v>619</v>
      </c>
    </row>
    <row r="45" spans="1:8" x14ac:dyDescent="0.3">
      <c r="A45" s="2" t="s">
        <v>661</v>
      </c>
      <c r="B45" s="2" t="s">
        <v>90</v>
      </c>
      <c r="C45" s="2" t="s">
        <v>318</v>
      </c>
      <c r="D45" s="4">
        <v>45189</v>
      </c>
      <c r="E45" s="4" t="str">
        <f t="shared" si="0"/>
        <v>September-2023</v>
      </c>
      <c r="F45" s="2">
        <v>4186.3500000000004</v>
      </c>
      <c r="G45" s="2" t="s">
        <v>613</v>
      </c>
      <c r="H45" s="2" t="s">
        <v>616</v>
      </c>
    </row>
    <row r="46" spans="1:8" x14ac:dyDescent="0.3">
      <c r="A46" s="2" t="s">
        <v>662</v>
      </c>
      <c r="B46" s="2" t="s">
        <v>85</v>
      </c>
      <c r="C46" s="2" t="s">
        <v>319</v>
      </c>
      <c r="D46" s="4">
        <v>45197</v>
      </c>
      <c r="E46" s="4" t="str">
        <f t="shared" si="0"/>
        <v>September-2023</v>
      </c>
      <c r="F46" s="2">
        <v>4478.93</v>
      </c>
      <c r="G46" s="2" t="s">
        <v>624</v>
      </c>
      <c r="H46" s="2" t="s">
        <v>616</v>
      </c>
    </row>
    <row r="47" spans="1:8" x14ac:dyDescent="0.3">
      <c r="A47" s="2" t="s">
        <v>663</v>
      </c>
      <c r="B47" s="2" t="s">
        <v>93</v>
      </c>
      <c r="C47" s="2" t="s">
        <v>320</v>
      </c>
      <c r="D47" s="4">
        <v>45280</v>
      </c>
      <c r="E47" s="4" t="str">
        <f t="shared" si="0"/>
        <v>December-2023</v>
      </c>
      <c r="F47" s="2">
        <v>1526.36</v>
      </c>
      <c r="G47" s="2" t="s">
        <v>624</v>
      </c>
      <c r="H47" s="2" t="s">
        <v>616</v>
      </c>
    </row>
    <row r="48" spans="1:8" x14ac:dyDescent="0.3">
      <c r="A48" s="2" t="s">
        <v>664</v>
      </c>
      <c r="B48" s="2" t="s">
        <v>6</v>
      </c>
      <c r="C48" s="2" t="s">
        <v>321</v>
      </c>
      <c r="D48" s="4">
        <v>45048</v>
      </c>
      <c r="E48" s="4" t="str">
        <f t="shared" si="0"/>
        <v>May-2023</v>
      </c>
      <c r="F48" s="2">
        <v>1454.2</v>
      </c>
      <c r="G48" s="2" t="s">
        <v>613</v>
      </c>
      <c r="H48" s="2" t="s">
        <v>619</v>
      </c>
    </row>
    <row r="49" spans="1:8" x14ac:dyDescent="0.3">
      <c r="A49" s="2" t="s">
        <v>665</v>
      </c>
      <c r="B49" s="2" t="s">
        <v>24</v>
      </c>
      <c r="C49" s="2" t="s">
        <v>322</v>
      </c>
      <c r="D49" s="4">
        <v>44942</v>
      </c>
      <c r="E49" s="4" t="str">
        <f t="shared" si="0"/>
        <v>January-2023</v>
      </c>
      <c r="F49" s="2">
        <v>3249.41</v>
      </c>
      <c r="G49" s="2" t="s">
        <v>621</v>
      </c>
      <c r="H49" s="2" t="s">
        <v>619</v>
      </c>
    </row>
    <row r="50" spans="1:8" x14ac:dyDescent="0.3">
      <c r="A50" s="2" t="s">
        <v>666</v>
      </c>
      <c r="B50" s="2" t="s">
        <v>33</v>
      </c>
      <c r="C50" s="2" t="s">
        <v>323</v>
      </c>
      <c r="D50" s="4">
        <v>45046</v>
      </c>
      <c r="E50" s="4" t="str">
        <f t="shared" si="0"/>
        <v>April-2023</v>
      </c>
      <c r="F50" s="2">
        <v>2349.63</v>
      </c>
      <c r="G50" s="2" t="s">
        <v>621</v>
      </c>
      <c r="H50" s="2" t="s">
        <v>614</v>
      </c>
    </row>
    <row r="51" spans="1:8" x14ac:dyDescent="0.3">
      <c r="A51" s="2" t="s">
        <v>667</v>
      </c>
      <c r="B51" s="2" t="s">
        <v>21</v>
      </c>
      <c r="C51" s="2" t="s">
        <v>324</v>
      </c>
      <c r="D51" s="4">
        <v>45154</v>
      </c>
      <c r="E51" s="4" t="str">
        <f t="shared" si="0"/>
        <v>August-2023</v>
      </c>
      <c r="F51" s="2">
        <v>4279.38</v>
      </c>
      <c r="G51" s="2" t="s">
        <v>624</v>
      </c>
      <c r="H51" s="2" t="s">
        <v>619</v>
      </c>
    </row>
    <row r="52" spans="1:8" x14ac:dyDescent="0.3">
      <c r="A52" s="2" t="s">
        <v>668</v>
      </c>
      <c r="B52" s="2" t="s">
        <v>99</v>
      </c>
      <c r="C52" s="2" t="s">
        <v>325</v>
      </c>
      <c r="D52" s="4">
        <v>44961</v>
      </c>
      <c r="E52" s="4" t="str">
        <f t="shared" si="0"/>
        <v>February-2023</v>
      </c>
      <c r="F52" s="2">
        <v>4550.1000000000004</v>
      </c>
      <c r="G52" s="2" t="s">
        <v>621</v>
      </c>
      <c r="H52" s="2" t="s">
        <v>619</v>
      </c>
    </row>
    <row r="53" spans="1:8" x14ac:dyDescent="0.3">
      <c r="A53" s="2" t="s">
        <v>669</v>
      </c>
      <c r="B53" s="2" t="s">
        <v>27</v>
      </c>
      <c r="C53" s="2" t="s">
        <v>326</v>
      </c>
      <c r="D53" s="4">
        <v>45119</v>
      </c>
      <c r="E53" s="4" t="str">
        <f t="shared" si="0"/>
        <v>July-2023</v>
      </c>
      <c r="F53" s="2">
        <v>2090.4</v>
      </c>
      <c r="G53" s="2" t="s">
        <v>624</v>
      </c>
      <c r="H53" s="2" t="s">
        <v>616</v>
      </c>
    </row>
    <row r="54" spans="1:8" x14ac:dyDescent="0.3">
      <c r="A54" s="2" t="s">
        <v>670</v>
      </c>
      <c r="B54" s="2" t="s">
        <v>102</v>
      </c>
      <c r="C54" s="2" t="s">
        <v>327</v>
      </c>
      <c r="D54" s="4">
        <v>44969</v>
      </c>
      <c r="E54" s="4" t="str">
        <f t="shared" si="0"/>
        <v>February-2023</v>
      </c>
      <c r="F54" s="2">
        <v>1565.92</v>
      </c>
      <c r="G54" s="2" t="s">
        <v>613</v>
      </c>
      <c r="H54" s="2" t="s">
        <v>614</v>
      </c>
    </row>
    <row r="55" spans="1:8" x14ac:dyDescent="0.3">
      <c r="A55" s="2" t="s">
        <v>671</v>
      </c>
      <c r="B55" s="2" t="s">
        <v>27</v>
      </c>
      <c r="C55" s="2" t="s">
        <v>328</v>
      </c>
      <c r="D55" s="4">
        <v>45276</v>
      </c>
      <c r="E55" s="4" t="str">
        <f t="shared" si="0"/>
        <v>December-2023</v>
      </c>
      <c r="F55" s="2">
        <v>4012.36</v>
      </c>
      <c r="G55" s="2" t="s">
        <v>624</v>
      </c>
      <c r="H55" s="2" t="s">
        <v>619</v>
      </c>
    </row>
    <row r="56" spans="1:8" x14ac:dyDescent="0.3">
      <c r="A56" s="2" t="s">
        <v>672</v>
      </c>
      <c r="B56" s="2" t="s">
        <v>105</v>
      </c>
      <c r="C56" s="2" t="s">
        <v>329</v>
      </c>
      <c r="D56" s="4">
        <v>45205</v>
      </c>
      <c r="E56" s="4" t="str">
        <f t="shared" si="0"/>
        <v>October-2023</v>
      </c>
      <c r="F56" s="2">
        <v>1736.63</v>
      </c>
      <c r="G56" s="2" t="s">
        <v>624</v>
      </c>
      <c r="H56" s="2" t="s">
        <v>619</v>
      </c>
    </row>
    <row r="57" spans="1:8" x14ac:dyDescent="0.3">
      <c r="A57" s="2" t="s">
        <v>673</v>
      </c>
      <c r="B57" s="2" t="s">
        <v>61</v>
      </c>
      <c r="C57" s="2" t="s">
        <v>330</v>
      </c>
      <c r="D57" s="4">
        <v>44928</v>
      </c>
      <c r="E57" s="4" t="str">
        <f t="shared" si="0"/>
        <v>January-2023</v>
      </c>
      <c r="F57" s="2">
        <v>4201.76</v>
      </c>
      <c r="G57" s="2" t="s">
        <v>613</v>
      </c>
      <c r="H57" s="2" t="s">
        <v>616</v>
      </c>
    </row>
    <row r="58" spans="1:8" x14ac:dyDescent="0.3">
      <c r="A58" s="2" t="s">
        <v>674</v>
      </c>
      <c r="B58" s="2" t="s">
        <v>56</v>
      </c>
      <c r="C58" s="2" t="s">
        <v>331</v>
      </c>
      <c r="D58" s="4">
        <v>45031</v>
      </c>
      <c r="E58" s="4" t="str">
        <f t="shared" si="0"/>
        <v>April-2023</v>
      </c>
      <c r="F58" s="2">
        <v>2406.8200000000002</v>
      </c>
      <c r="G58" s="2" t="s">
        <v>621</v>
      </c>
      <c r="H58" s="2" t="s">
        <v>616</v>
      </c>
    </row>
    <row r="59" spans="1:8" x14ac:dyDescent="0.3">
      <c r="A59" s="2" t="s">
        <v>675</v>
      </c>
      <c r="B59" s="2" t="s">
        <v>6</v>
      </c>
      <c r="C59" s="2" t="s">
        <v>332</v>
      </c>
      <c r="D59" s="4">
        <v>45055</v>
      </c>
      <c r="E59" s="4" t="str">
        <f t="shared" si="0"/>
        <v>May-2023</v>
      </c>
      <c r="F59" s="2">
        <v>3503.97</v>
      </c>
      <c r="G59" s="2" t="s">
        <v>624</v>
      </c>
      <c r="H59" s="2" t="s">
        <v>619</v>
      </c>
    </row>
    <row r="60" spans="1:8" x14ac:dyDescent="0.3">
      <c r="A60" s="2" t="s">
        <v>676</v>
      </c>
      <c r="B60" s="2" t="s">
        <v>110</v>
      </c>
      <c r="C60" s="2" t="s">
        <v>333</v>
      </c>
      <c r="D60" s="4">
        <v>44994</v>
      </c>
      <c r="E60" s="4" t="str">
        <f t="shared" si="0"/>
        <v>March-2023</v>
      </c>
      <c r="F60" s="2">
        <v>929.91</v>
      </c>
      <c r="G60" s="2" t="s">
        <v>624</v>
      </c>
      <c r="H60" s="2" t="s">
        <v>614</v>
      </c>
    </row>
    <row r="61" spans="1:8" x14ac:dyDescent="0.3">
      <c r="A61" s="2" t="s">
        <v>677</v>
      </c>
      <c r="B61" s="2" t="s">
        <v>112</v>
      </c>
      <c r="C61" s="2" t="s">
        <v>334</v>
      </c>
      <c r="D61" s="4">
        <v>45252</v>
      </c>
      <c r="E61" s="4" t="str">
        <f t="shared" si="0"/>
        <v>November-2023</v>
      </c>
      <c r="F61" s="2">
        <v>3307.37</v>
      </c>
      <c r="G61" s="2" t="s">
        <v>613</v>
      </c>
      <c r="H61" s="2" t="s">
        <v>614</v>
      </c>
    </row>
    <row r="62" spans="1:8" x14ac:dyDescent="0.3">
      <c r="A62" s="2" t="s">
        <v>678</v>
      </c>
      <c r="B62" s="2" t="s">
        <v>102</v>
      </c>
      <c r="C62" s="2" t="s">
        <v>335</v>
      </c>
      <c r="D62" s="4">
        <v>44941</v>
      </c>
      <c r="E62" s="4" t="str">
        <f t="shared" si="0"/>
        <v>January-2023</v>
      </c>
      <c r="F62" s="2">
        <v>2532.9499999999998</v>
      </c>
      <c r="G62" s="2" t="s">
        <v>621</v>
      </c>
      <c r="H62" s="2" t="s">
        <v>616</v>
      </c>
    </row>
    <row r="63" spans="1:8" x14ac:dyDescent="0.3">
      <c r="A63" s="2" t="s">
        <v>679</v>
      </c>
      <c r="B63" s="2" t="s">
        <v>43</v>
      </c>
      <c r="C63" s="2" t="s">
        <v>336</v>
      </c>
      <c r="D63" s="4">
        <v>45091</v>
      </c>
      <c r="E63" s="4" t="str">
        <f t="shared" si="0"/>
        <v>June-2023</v>
      </c>
      <c r="F63" s="2">
        <v>3139.74</v>
      </c>
      <c r="G63" s="2" t="s">
        <v>624</v>
      </c>
      <c r="H63" s="2" t="s">
        <v>616</v>
      </c>
    </row>
    <row r="64" spans="1:8" x14ac:dyDescent="0.3">
      <c r="A64" s="2" t="s">
        <v>680</v>
      </c>
      <c r="B64" s="2" t="s">
        <v>116</v>
      </c>
      <c r="C64" s="2" t="s">
        <v>337</v>
      </c>
      <c r="D64" s="4">
        <v>45106</v>
      </c>
      <c r="E64" s="4" t="str">
        <f t="shared" si="0"/>
        <v>June-2023</v>
      </c>
      <c r="F64" s="2">
        <v>1256.06</v>
      </c>
      <c r="G64" s="2" t="s">
        <v>613</v>
      </c>
      <c r="H64" s="2" t="s">
        <v>619</v>
      </c>
    </row>
    <row r="65" spans="1:8" x14ac:dyDescent="0.3">
      <c r="A65" s="2" t="s">
        <v>681</v>
      </c>
      <c r="B65" s="2" t="s">
        <v>118</v>
      </c>
      <c r="C65" s="2" t="s">
        <v>338</v>
      </c>
      <c r="D65" s="4">
        <v>45077</v>
      </c>
      <c r="E65" s="4" t="str">
        <f t="shared" si="0"/>
        <v>May-2023</v>
      </c>
      <c r="F65" s="2">
        <v>3815.93</v>
      </c>
      <c r="G65" s="2" t="s">
        <v>624</v>
      </c>
      <c r="H65" s="2" t="s">
        <v>616</v>
      </c>
    </row>
    <row r="66" spans="1:8" x14ac:dyDescent="0.3">
      <c r="A66" s="2" t="s">
        <v>682</v>
      </c>
      <c r="B66" s="2" t="s">
        <v>79</v>
      </c>
      <c r="C66" s="2" t="s">
        <v>339</v>
      </c>
      <c r="D66" s="4">
        <v>45040</v>
      </c>
      <c r="E66" s="4" t="str">
        <f t="shared" si="0"/>
        <v>April-2023</v>
      </c>
      <c r="F66" s="2">
        <v>4382.59</v>
      </c>
      <c r="G66" s="2" t="s">
        <v>613</v>
      </c>
      <c r="H66" s="2" t="s">
        <v>619</v>
      </c>
    </row>
    <row r="67" spans="1:8" x14ac:dyDescent="0.3">
      <c r="A67" s="2" t="s">
        <v>683</v>
      </c>
      <c r="B67" s="2" t="s">
        <v>79</v>
      </c>
      <c r="C67" s="2" t="s">
        <v>340</v>
      </c>
      <c r="D67" s="4">
        <v>45056</v>
      </c>
      <c r="E67" s="4" t="str">
        <f t="shared" ref="E67:E130" si="1">TEXT(D67,"mmmm-yyyy")</f>
        <v>May-2023</v>
      </c>
      <c r="F67" s="2">
        <v>1475.33</v>
      </c>
      <c r="G67" s="2" t="s">
        <v>621</v>
      </c>
      <c r="H67" s="2" t="s">
        <v>614</v>
      </c>
    </row>
    <row r="68" spans="1:8" x14ac:dyDescent="0.3">
      <c r="A68" s="2" t="s">
        <v>684</v>
      </c>
      <c r="B68" s="2" t="s">
        <v>122</v>
      </c>
      <c r="C68" s="2" t="s">
        <v>341</v>
      </c>
      <c r="D68" s="4">
        <v>45148</v>
      </c>
      <c r="E68" s="4" t="str">
        <f t="shared" si="1"/>
        <v>August-2023</v>
      </c>
      <c r="F68" s="2">
        <v>930.72</v>
      </c>
      <c r="G68" s="2" t="s">
        <v>621</v>
      </c>
      <c r="H68" s="2" t="s">
        <v>614</v>
      </c>
    </row>
    <row r="69" spans="1:8" x14ac:dyDescent="0.3">
      <c r="A69" s="2" t="s">
        <v>685</v>
      </c>
      <c r="B69" s="2" t="s">
        <v>49</v>
      </c>
      <c r="C69" s="2" t="s">
        <v>342</v>
      </c>
      <c r="D69" s="4">
        <v>44999</v>
      </c>
      <c r="E69" s="4" t="str">
        <f t="shared" si="1"/>
        <v>March-2023</v>
      </c>
      <c r="F69" s="2">
        <v>606.37</v>
      </c>
      <c r="G69" s="2" t="s">
        <v>621</v>
      </c>
      <c r="H69" s="2" t="s">
        <v>619</v>
      </c>
    </row>
    <row r="70" spans="1:8" x14ac:dyDescent="0.3">
      <c r="A70" s="2" t="s">
        <v>686</v>
      </c>
      <c r="B70" s="2" t="s">
        <v>43</v>
      </c>
      <c r="C70" s="2" t="s">
        <v>343</v>
      </c>
      <c r="D70" s="4">
        <v>45014</v>
      </c>
      <c r="E70" s="4" t="str">
        <f t="shared" si="1"/>
        <v>March-2023</v>
      </c>
      <c r="F70" s="2">
        <v>3388.87</v>
      </c>
      <c r="G70" s="2" t="s">
        <v>621</v>
      </c>
      <c r="H70" s="2" t="s">
        <v>616</v>
      </c>
    </row>
    <row r="71" spans="1:8" x14ac:dyDescent="0.3">
      <c r="A71" s="2" t="s">
        <v>687</v>
      </c>
      <c r="B71" s="2" t="s">
        <v>40</v>
      </c>
      <c r="C71" s="2" t="s">
        <v>344</v>
      </c>
      <c r="D71" s="4">
        <v>45164</v>
      </c>
      <c r="E71" s="4" t="str">
        <f t="shared" si="1"/>
        <v>August-2023</v>
      </c>
      <c r="F71" s="2">
        <v>3231.92</v>
      </c>
      <c r="G71" s="2" t="s">
        <v>624</v>
      </c>
      <c r="H71" s="2" t="s">
        <v>614</v>
      </c>
    </row>
    <row r="72" spans="1:8" x14ac:dyDescent="0.3">
      <c r="A72" s="2" t="s">
        <v>688</v>
      </c>
      <c r="B72" s="2" t="s">
        <v>24</v>
      </c>
      <c r="C72" s="2" t="s">
        <v>345</v>
      </c>
      <c r="D72" s="4">
        <v>44952</v>
      </c>
      <c r="E72" s="4" t="str">
        <f t="shared" si="1"/>
        <v>January-2023</v>
      </c>
      <c r="F72" s="2">
        <v>2960.14</v>
      </c>
      <c r="G72" s="2" t="s">
        <v>624</v>
      </c>
      <c r="H72" s="2" t="s">
        <v>616</v>
      </c>
    </row>
    <row r="73" spans="1:8" x14ac:dyDescent="0.3">
      <c r="A73" s="2" t="s">
        <v>689</v>
      </c>
      <c r="B73" s="2" t="s">
        <v>79</v>
      </c>
      <c r="C73" s="2" t="s">
        <v>346</v>
      </c>
      <c r="D73" s="4">
        <v>45089</v>
      </c>
      <c r="E73" s="4" t="str">
        <f t="shared" si="1"/>
        <v>June-2023</v>
      </c>
      <c r="F73" s="2">
        <v>1543.76</v>
      </c>
      <c r="G73" s="2" t="s">
        <v>621</v>
      </c>
      <c r="H73" s="2" t="s">
        <v>614</v>
      </c>
    </row>
    <row r="74" spans="1:8" x14ac:dyDescent="0.3">
      <c r="A74" s="2" t="s">
        <v>690</v>
      </c>
      <c r="B74" s="2" t="s">
        <v>17</v>
      </c>
      <c r="C74" s="2" t="s">
        <v>347</v>
      </c>
      <c r="D74" s="4">
        <v>45284</v>
      </c>
      <c r="E74" s="4" t="str">
        <f t="shared" si="1"/>
        <v>December-2023</v>
      </c>
      <c r="F74" s="2">
        <v>2259.08</v>
      </c>
      <c r="G74" s="2" t="s">
        <v>621</v>
      </c>
      <c r="H74" s="2" t="s">
        <v>619</v>
      </c>
    </row>
    <row r="75" spans="1:8" x14ac:dyDescent="0.3">
      <c r="A75" s="2" t="s">
        <v>691</v>
      </c>
      <c r="B75" s="2" t="s">
        <v>85</v>
      </c>
      <c r="C75" s="2" t="s">
        <v>348</v>
      </c>
      <c r="D75" s="4">
        <v>45130</v>
      </c>
      <c r="E75" s="4" t="str">
        <f t="shared" si="1"/>
        <v>July-2023</v>
      </c>
      <c r="F75" s="2">
        <v>3175.14</v>
      </c>
      <c r="G75" s="2" t="s">
        <v>621</v>
      </c>
      <c r="H75" s="2" t="s">
        <v>619</v>
      </c>
    </row>
    <row r="76" spans="1:8" x14ac:dyDescent="0.3">
      <c r="A76" s="2" t="s">
        <v>692</v>
      </c>
      <c r="B76" s="2" t="s">
        <v>122</v>
      </c>
      <c r="C76" s="2" t="s">
        <v>349</v>
      </c>
      <c r="D76" s="4">
        <v>45054</v>
      </c>
      <c r="E76" s="4" t="str">
        <f t="shared" si="1"/>
        <v>May-2023</v>
      </c>
      <c r="F76" s="2">
        <v>2735.45</v>
      </c>
      <c r="G76" s="2" t="s">
        <v>624</v>
      </c>
      <c r="H76" s="2" t="s">
        <v>619</v>
      </c>
    </row>
    <row r="77" spans="1:8" x14ac:dyDescent="0.3">
      <c r="A77" s="2" t="s">
        <v>693</v>
      </c>
      <c r="B77" s="2" t="s">
        <v>132</v>
      </c>
      <c r="C77" s="2" t="s">
        <v>350</v>
      </c>
      <c r="D77" s="4">
        <v>45257</v>
      </c>
      <c r="E77" s="4" t="str">
        <f t="shared" si="1"/>
        <v>November-2023</v>
      </c>
      <c r="F77" s="2">
        <v>4945.03</v>
      </c>
      <c r="G77" s="2" t="s">
        <v>621</v>
      </c>
      <c r="H77" s="2" t="s">
        <v>614</v>
      </c>
    </row>
    <row r="78" spans="1:8" x14ac:dyDescent="0.3">
      <c r="A78" s="2" t="s">
        <v>694</v>
      </c>
      <c r="B78" s="2" t="s">
        <v>38</v>
      </c>
      <c r="C78" s="2" t="s">
        <v>351</v>
      </c>
      <c r="D78" s="4">
        <v>45274</v>
      </c>
      <c r="E78" s="4" t="str">
        <f t="shared" si="1"/>
        <v>December-2023</v>
      </c>
      <c r="F78" s="2">
        <v>1113.98</v>
      </c>
      <c r="G78" s="2" t="s">
        <v>621</v>
      </c>
      <c r="H78" s="2" t="s">
        <v>616</v>
      </c>
    </row>
    <row r="79" spans="1:8" x14ac:dyDescent="0.3">
      <c r="A79" s="2" t="s">
        <v>695</v>
      </c>
      <c r="B79" s="2" t="s">
        <v>135</v>
      </c>
      <c r="C79" s="2" t="s">
        <v>352</v>
      </c>
      <c r="D79" s="4">
        <v>45186</v>
      </c>
      <c r="E79" s="4" t="str">
        <f t="shared" si="1"/>
        <v>September-2023</v>
      </c>
      <c r="F79" s="2">
        <v>3628.15</v>
      </c>
      <c r="G79" s="2" t="s">
        <v>621</v>
      </c>
      <c r="H79" s="2" t="s">
        <v>616</v>
      </c>
    </row>
    <row r="80" spans="1:8" x14ac:dyDescent="0.3">
      <c r="A80" s="2" t="s">
        <v>696</v>
      </c>
      <c r="B80" s="2" t="s">
        <v>43</v>
      </c>
      <c r="C80" s="2" t="s">
        <v>353</v>
      </c>
      <c r="D80" s="4">
        <v>45286</v>
      </c>
      <c r="E80" s="4" t="str">
        <f t="shared" si="1"/>
        <v>December-2023</v>
      </c>
      <c r="F80" s="2">
        <v>2319.4299999999998</v>
      </c>
      <c r="G80" s="2" t="s">
        <v>613</v>
      </c>
      <c r="H80" s="2" t="s">
        <v>616</v>
      </c>
    </row>
    <row r="81" spans="1:8" x14ac:dyDescent="0.3">
      <c r="A81" s="2" t="s">
        <v>697</v>
      </c>
      <c r="B81" s="2" t="s">
        <v>90</v>
      </c>
      <c r="C81" s="2" t="s">
        <v>354</v>
      </c>
      <c r="D81" s="4">
        <v>45103</v>
      </c>
      <c r="E81" s="4" t="str">
        <f t="shared" si="1"/>
        <v>June-2023</v>
      </c>
      <c r="F81" s="2">
        <v>2426.9</v>
      </c>
      <c r="G81" s="2" t="s">
        <v>621</v>
      </c>
      <c r="H81" s="2" t="s">
        <v>614</v>
      </c>
    </row>
    <row r="82" spans="1:8" x14ac:dyDescent="0.3">
      <c r="A82" s="2" t="s">
        <v>698</v>
      </c>
      <c r="B82" s="2" t="s">
        <v>65</v>
      </c>
      <c r="C82" s="2" t="s">
        <v>355</v>
      </c>
      <c r="D82" s="4">
        <v>44932</v>
      </c>
      <c r="E82" s="4" t="str">
        <f t="shared" si="1"/>
        <v>January-2023</v>
      </c>
      <c r="F82" s="2">
        <v>3729.19</v>
      </c>
      <c r="G82" s="2" t="s">
        <v>613</v>
      </c>
      <c r="H82" s="2" t="s">
        <v>614</v>
      </c>
    </row>
    <row r="83" spans="1:8" x14ac:dyDescent="0.3">
      <c r="A83" s="2" t="s">
        <v>699</v>
      </c>
      <c r="B83" s="2" t="s">
        <v>105</v>
      </c>
      <c r="C83" s="2" t="s">
        <v>356</v>
      </c>
      <c r="D83" s="4">
        <v>44946</v>
      </c>
      <c r="E83" s="4" t="str">
        <f t="shared" si="1"/>
        <v>January-2023</v>
      </c>
      <c r="F83" s="2">
        <v>3615.96</v>
      </c>
      <c r="G83" s="2" t="s">
        <v>613</v>
      </c>
      <c r="H83" s="2" t="s">
        <v>614</v>
      </c>
    </row>
    <row r="84" spans="1:8" x14ac:dyDescent="0.3">
      <c r="A84" s="2" t="s">
        <v>700</v>
      </c>
      <c r="B84" s="2" t="s">
        <v>116</v>
      </c>
      <c r="C84" s="2" t="s">
        <v>357</v>
      </c>
      <c r="D84" s="4">
        <v>45237</v>
      </c>
      <c r="E84" s="4" t="str">
        <f t="shared" si="1"/>
        <v>November-2023</v>
      </c>
      <c r="F84" s="2">
        <v>4960.6499999999996</v>
      </c>
      <c r="G84" s="2" t="s">
        <v>621</v>
      </c>
      <c r="H84" s="2" t="s">
        <v>614</v>
      </c>
    </row>
    <row r="85" spans="1:8" x14ac:dyDescent="0.3">
      <c r="A85" s="2" t="s">
        <v>701</v>
      </c>
      <c r="B85" s="2" t="s">
        <v>118</v>
      </c>
      <c r="C85" s="2" t="s">
        <v>358</v>
      </c>
      <c r="D85" s="4">
        <v>45077</v>
      </c>
      <c r="E85" s="4" t="str">
        <f t="shared" si="1"/>
        <v>May-2023</v>
      </c>
      <c r="F85" s="2">
        <v>1077.77</v>
      </c>
      <c r="G85" s="2" t="s">
        <v>613</v>
      </c>
      <c r="H85" s="2" t="s">
        <v>614</v>
      </c>
    </row>
    <row r="86" spans="1:8" x14ac:dyDescent="0.3">
      <c r="A86" s="2" t="s">
        <v>702</v>
      </c>
      <c r="B86" s="2" t="s">
        <v>83</v>
      </c>
      <c r="C86" s="2" t="s">
        <v>359</v>
      </c>
      <c r="D86" s="4">
        <v>44975</v>
      </c>
      <c r="E86" s="4" t="str">
        <f t="shared" si="1"/>
        <v>February-2023</v>
      </c>
      <c r="F86" s="2">
        <v>968.49</v>
      </c>
      <c r="G86" s="2" t="s">
        <v>621</v>
      </c>
      <c r="H86" s="2" t="s">
        <v>616</v>
      </c>
    </row>
    <row r="87" spans="1:8" x14ac:dyDescent="0.3">
      <c r="A87" s="2" t="s">
        <v>703</v>
      </c>
      <c r="B87" s="2" t="s">
        <v>144</v>
      </c>
      <c r="C87" s="2" t="s">
        <v>360</v>
      </c>
      <c r="D87" s="4">
        <v>45228</v>
      </c>
      <c r="E87" s="4" t="str">
        <f t="shared" si="1"/>
        <v>October-2023</v>
      </c>
      <c r="F87" s="2">
        <v>3759.52</v>
      </c>
      <c r="G87" s="2" t="s">
        <v>624</v>
      </c>
      <c r="H87" s="2" t="s">
        <v>614</v>
      </c>
    </row>
    <row r="88" spans="1:8" x14ac:dyDescent="0.3">
      <c r="A88" s="2" t="s">
        <v>704</v>
      </c>
      <c r="B88" s="2" t="s">
        <v>45</v>
      </c>
      <c r="C88" s="2" t="s">
        <v>361</v>
      </c>
      <c r="D88" s="4">
        <v>45218</v>
      </c>
      <c r="E88" s="4" t="str">
        <f t="shared" si="1"/>
        <v>October-2023</v>
      </c>
      <c r="F88" s="2">
        <v>3102.74</v>
      </c>
      <c r="G88" s="2" t="s">
        <v>624</v>
      </c>
      <c r="H88" s="2" t="s">
        <v>614</v>
      </c>
    </row>
    <row r="89" spans="1:8" x14ac:dyDescent="0.3">
      <c r="A89" s="2" t="s">
        <v>705</v>
      </c>
      <c r="B89" s="2" t="s">
        <v>147</v>
      </c>
      <c r="C89" s="2" t="s">
        <v>362</v>
      </c>
      <c r="D89" s="4">
        <v>45048</v>
      </c>
      <c r="E89" s="4" t="str">
        <f t="shared" si="1"/>
        <v>May-2023</v>
      </c>
      <c r="F89" s="2">
        <v>1733.72</v>
      </c>
      <c r="G89" s="2" t="s">
        <v>624</v>
      </c>
      <c r="H89" s="2" t="s">
        <v>616</v>
      </c>
    </row>
    <row r="90" spans="1:8" x14ac:dyDescent="0.3">
      <c r="A90" s="2" t="s">
        <v>706</v>
      </c>
      <c r="B90" s="2" t="s">
        <v>38</v>
      </c>
      <c r="C90" s="2" t="s">
        <v>363</v>
      </c>
      <c r="D90" s="4">
        <v>44971</v>
      </c>
      <c r="E90" s="4" t="str">
        <f t="shared" si="1"/>
        <v>February-2023</v>
      </c>
      <c r="F90" s="2">
        <v>857.39</v>
      </c>
      <c r="G90" s="2" t="s">
        <v>624</v>
      </c>
      <c r="H90" s="2" t="s">
        <v>614</v>
      </c>
    </row>
    <row r="91" spans="1:8" x14ac:dyDescent="0.3">
      <c r="A91" s="2" t="s">
        <v>707</v>
      </c>
      <c r="B91" s="2" t="s">
        <v>45</v>
      </c>
      <c r="C91" s="2" t="s">
        <v>364</v>
      </c>
      <c r="D91" s="4">
        <v>45078</v>
      </c>
      <c r="E91" s="4" t="str">
        <f t="shared" si="1"/>
        <v>June-2023</v>
      </c>
      <c r="F91" s="2">
        <v>885.46</v>
      </c>
      <c r="G91" s="2" t="s">
        <v>613</v>
      </c>
      <c r="H91" s="2" t="s">
        <v>616</v>
      </c>
    </row>
    <row r="92" spans="1:8" x14ac:dyDescent="0.3">
      <c r="A92" s="2" t="s">
        <v>708</v>
      </c>
      <c r="B92" s="2" t="s">
        <v>85</v>
      </c>
      <c r="C92" s="2" t="s">
        <v>365</v>
      </c>
      <c r="D92" s="4">
        <v>45088</v>
      </c>
      <c r="E92" s="4" t="str">
        <f t="shared" si="1"/>
        <v>June-2023</v>
      </c>
      <c r="F92" s="2">
        <v>4523.8599999999997</v>
      </c>
      <c r="G92" s="2" t="s">
        <v>621</v>
      </c>
      <c r="H92" s="2" t="s">
        <v>616</v>
      </c>
    </row>
    <row r="93" spans="1:8" x14ac:dyDescent="0.3">
      <c r="A93" s="2" t="s">
        <v>709</v>
      </c>
      <c r="B93" s="2" t="s">
        <v>45</v>
      </c>
      <c r="C93" s="2" t="s">
        <v>366</v>
      </c>
      <c r="D93" s="4">
        <v>44956</v>
      </c>
      <c r="E93" s="4" t="str">
        <f t="shared" si="1"/>
        <v>January-2023</v>
      </c>
      <c r="F93" s="2">
        <v>1363.4</v>
      </c>
      <c r="G93" s="2" t="s">
        <v>621</v>
      </c>
      <c r="H93" s="2" t="s">
        <v>619</v>
      </c>
    </row>
    <row r="94" spans="1:8" x14ac:dyDescent="0.3">
      <c r="A94" s="2" t="s">
        <v>710</v>
      </c>
      <c r="B94" s="2" t="s">
        <v>1</v>
      </c>
      <c r="C94" s="2" t="s">
        <v>367</v>
      </c>
      <c r="D94" s="4">
        <v>45025</v>
      </c>
      <c r="E94" s="4" t="str">
        <f t="shared" si="1"/>
        <v>April-2023</v>
      </c>
      <c r="F94" s="2">
        <v>1955.17</v>
      </c>
      <c r="G94" s="2" t="s">
        <v>621</v>
      </c>
      <c r="H94" s="2" t="s">
        <v>619</v>
      </c>
    </row>
    <row r="95" spans="1:8" x14ac:dyDescent="0.3">
      <c r="A95" s="2" t="s">
        <v>711</v>
      </c>
      <c r="B95" s="2" t="s">
        <v>154</v>
      </c>
      <c r="C95" s="2" t="s">
        <v>368</v>
      </c>
      <c r="D95" s="4">
        <v>45024</v>
      </c>
      <c r="E95" s="4" t="str">
        <f t="shared" si="1"/>
        <v>April-2023</v>
      </c>
      <c r="F95" s="2">
        <v>1519.95</v>
      </c>
      <c r="G95" s="2" t="s">
        <v>624</v>
      </c>
      <c r="H95" s="2" t="s">
        <v>619</v>
      </c>
    </row>
    <row r="96" spans="1:8" x14ac:dyDescent="0.3">
      <c r="A96" s="2" t="s">
        <v>712</v>
      </c>
      <c r="B96" s="2" t="s">
        <v>156</v>
      </c>
      <c r="C96" s="2" t="s">
        <v>369</v>
      </c>
      <c r="D96" s="4">
        <v>45055</v>
      </c>
      <c r="E96" s="4" t="str">
        <f t="shared" si="1"/>
        <v>May-2023</v>
      </c>
      <c r="F96" s="2">
        <v>2097.48</v>
      </c>
      <c r="G96" s="2" t="s">
        <v>624</v>
      </c>
      <c r="H96" s="2" t="s">
        <v>619</v>
      </c>
    </row>
    <row r="97" spans="1:8" x14ac:dyDescent="0.3">
      <c r="A97" s="2" t="s">
        <v>713</v>
      </c>
      <c r="B97" s="2" t="s">
        <v>99</v>
      </c>
      <c r="C97" s="2" t="s">
        <v>370</v>
      </c>
      <c r="D97" s="4">
        <v>45114</v>
      </c>
      <c r="E97" s="4" t="str">
        <f t="shared" si="1"/>
        <v>July-2023</v>
      </c>
      <c r="F97" s="2">
        <v>812.41</v>
      </c>
      <c r="G97" s="2" t="s">
        <v>621</v>
      </c>
      <c r="H97" s="2" t="s">
        <v>614</v>
      </c>
    </row>
    <row r="98" spans="1:8" x14ac:dyDescent="0.3">
      <c r="A98" s="2" t="s">
        <v>714</v>
      </c>
      <c r="B98" s="2" t="s">
        <v>116</v>
      </c>
      <c r="C98" s="2" t="s">
        <v>371</v>
      </c>
      <c r="D98" s="4">
        <v>45052</v>
      </c>
      <c r="E98" s="4" t="str">
        <f t="shared" si="1"/>
        <v>May-2023</v>
      </c>
      <c r="F98" s="2">
        <v>2835.77</v>
      </c>
      <c r="G98" s="2" t="s">
        <v>624</v>
      </c>
      <c r="H98" s="2" t="s">
        <v>619</v>
      </c>
    </row>
    <row r="99" spans="1:8" x14ac:dyDescent="0.3">
      <c r="A99" s="2" t="s">
        <v>715</v>
      </c>
      <c r="B99" s="2" t="s">
        <v>21</v>
      </c>
      <c r="C99" s="2" t="s">
        <v>372</v>
      </c>
      <c r="D99" s="4">
        <v>45002</v>
      </c>
      <c r="E99" s="4" t="str">
        <f t="shared" si="1"/>
        <v>March-2023</v>
      </c>
      <c r="F99" s="2">
        <v>804.26</v>
      </c>
      <c r="G99" s="2" t="s">
        <v>621</v>
      </c>
      <c r="H99" s="2" t="s">
        <v>616</v>
      </c>
    </row>
    <row r="100" spans="1:8" x14ac:dyDescent="0.3">
      <c r="A100" s="2" t="s">
        <v>716</v>
      </c>
      <c r="B100" s="2" t="s">
        <v>161</v>
      </c>
      <c r="C100" s="2" t="s">
        <v>373</v>
      </c>
      <c r="D100" s="4">
        <v>45111</v>
      </c>
      <c r="E100" s="4" t="str">
        <f t="shared" si="1"/>
        <v>July-2023</v>
      </c>
      <c r="F100" s="2">
        <v>4101.6000000000004</v>
      </c>
      <c r="G100" s="2" t="s">
        <v>621</v>
      </c>
      <c r="H100" s="2" t="s">
        <v>614</v>
      </c>
    </row>
    <row r="101" spans="1:8" x14ac:dyDescent="0.3">
      <c r="A101" s="2" t="s">
        <v>717</v>
      </c>
      <c r="B101" s="2" t="s">
        <v>38</v>
      </c>
      <c r="C101" s="2" t="s">
        <v>374</v>
      </c>
      <c r="D101" s="4">
        <v>44987</v>
      </c>
      <c r="E101" s="4" t="str">
        <f t="shared" si="1"/>
        <v>March-2023</v>
      </c>
      <c r="F101" s="2">
        <v>1551.7</v>
      </c>
      <c r="G101" s="2" t="s">
        <v>621</v>
      </c>
      <c r="H101" s="2" t="s">
        <v>619</v>
      </c>
    </row>
    <row r="102" spans="1:8" x14ac:dyDescent="0.3">
      <c r="A102" s="2" t="s">
        <v>718</v>
      </c>
      <c r="B102" s="2" t="s">
        <v>77</v>
      </c>
      <c r="C102" s="2" t="s">
        <v>375</v>
      </c>
      <c r="D102" s="4">
        <v>45190</v>
      </c>
      <c r="E102" s="4" t="str">
        <f t="shared" si="1"/>
        <v>September-2023</v>
      </c>
      <c r="F102" s="2">
        <v>2930.05</v>
      </c>
      <c r="G102" s="2" t="s">
        <v>621</v>
      </c>
      <c r="H102" s="2" t="s">
        <v>616</v>
      </c>
    </row>
    <row r="103" spans="1:8" x14ac:dyDescent="0.3">
      <c r="A103" s="2" t="s">
        <v>719</v>
      </c>
      <c r="B103" s="2" t="s">
        <v>14</v>
      </c>
      <c r="C103" s="2" t="s">
        <v>376</v>
      </c>
      <c r="D103" s="4">
        <v>45224</v>
      </c>
      <c r="E103" s="4" t="str">
        <f t="shared" si="1"/>
        <v>October-2023</v>
      </c>
      <c r="F103" s="2">
        <v>4460.3599999999997</v>
      </c>
      <c r="G103" s="2" t="s">
        <v>621</v>
      </c>
      <c r="H103" s="2" t="s">
        <v>614</v>
      </c>
    </row>
    <row r="104" spans="1:8" x14ac:dyDescent="0.3">
      <c r="A104" s="2" t="s">
        <v>720</v>
      </c>
      <c r="B104" s="2" t="s">
        <v>74</v>
      </c>
      <c r="C104" s="2" t="s">
        <v>377</v>
      </c>
      <c r="D104" s="4">
        <v>44950</v>
      </c>
      <c r="E104" s="4" t="str">
        <f t="shared" si="1"/>
        <v>January-2023</v>
      </c>
      <c r="F104" s="2">
        <v>3428.95</v>
      </c>
      <c r="G104" s="2" t="s">
        <v>621</v>
      </c>
      <c r="H104" s="2" t="s">
        <v>614</v>
      </c>
    </row>
    <row r="105" spans="1:8" x14ac:dyDescent="0.3">
      <c r="A105" s="2" t="s">
        <v>721</v>
      </c>
      <c r="B105" s="2" t="s">
        <v>77</v>
      </c>
      <c r="C105" s="2" t="s">
        <v>378</v>
      </c>
      <c r="D105" s="4">
        <v>45034</v>
      </c>
      <c r="E105" s="4" t="str">
        <f t="shared" si="1"/>
        <v>April-2023</v>
      </c>
      <c r="F105" s="2">
        <v>2898.31</v>
      </c>
      <c r="G105" s="2" t="s">
        <v>621</v>
      </c>
      <c r="H105" s="2" t="s">
        <v>619</v>
      </c>
    </row>
    <row r="106" spans="1:8" x14ac:dyDescent="0.3">
      <c r="A106" s="2" t="s">
        <v>722</v>
      </c>
      <c r="B106" s="2" t="s">
        <v>85</v>
      </c>
      <c r="C106" s="2" t="s">
        <v>379</v>
      </c>
      <c r="D106" s="4">
        <v>45152</v>
      </c>
      <c r="E106" s="4" t="str">
        <f t="shared" si="1"/>
        <v>August-2023</v>
      </c>
      <c r="F106" s="2">
        <v>1959.5</v>
      </c>
      <c r="G106" s="2" t="s">
        <v>624</v>
      </c>
      <c r="H106" s="2" t="s">
        <v>614</v>
      </c>
    </row>
    <row r="107" spans="1:8" x14ac:dyDescent="0.3">
      <c r="A107" s="2" t="s">
        <v>723</v>
      </c>
      <c r="B107" s="2" t="s">
        <v>49</v>
      </c>
      <c r="C107" s="2" t="s">
        <v>380</v>
      </c>
      <c r="D107" s="4">
        <v>45228</v>
      </c>
      <c r="E107" s="4" t="str">
        <f t="shared" si="1"/>
        <v>October-2023</v>
      </c>
      <c r="F107" s="2">
        <v>1998.51</v>
      </c>
      <c r="G107" s="2" t="s">
        <v>621</v>
      </c>
      <c r="H107" s="2" t="s">
        <v>616</v>
      </c>
    </row>
    <row r="108" spans="1:8" x14ac:dyDescent="0.3">
      <c r="A108" s="2" t="s">
        <v>724</v>
      </c>
      <c r="B108" s="2" t="s">
        <v>170</v>
      </c>
      <c r="C108" s="2" t="s">
        <v>381</v>
      </c>
      <c r="D108" s="4">
        <v>45033</v>
      </c>
      <c r="E108" s="4" t="str">
        <f t="shared" si="1"/>
        <v>April-2023</v>
      </c>
      <c r="F108" s="2">
        <v>3512.69</v>
      </c>
      <c r="G108" s="2" t="s">
        <v>621</v>
      </c>
      <c r="H108" s="2" t="s">
        <v>614</v>
      </c>
    </row>
    <row r="109" spans="1:8" x14ac:dyDescent="0.3">
      <c r="A109" s="2" t="s">
        <v>725</v>
      </c>
      <c r="B109" s="2" t="s">
        <v>102</v>
      </c>
      <c r="C109" s="2" t="s">
        <v>382</v>
      </c>
      <c r="D109" s="4">
        <v>45037</v>
      </c>
      <c r="E109" s="4" t="str">
        <f t="shared" si="1"/>
        <v>April-2023</v>
      </c>
      <c r="F109" s="2">
        <v>4973.63</v>
      </c>
      <c r="G109" s="2" t="s">
        <v>624</v>
      </c>
      <c r="H109" s="2" t="s">
        <v>616</v>
      </c>
    </row>
    <row r="110" spans="1:8" x14ac:dyDescent="0.3">
      <c r="A110" s="2" t="s">
        <v>726</v>
      </c>
      <c r="B110" s="2" t="s">
        <v>118</v>
      </c>
      <c r="C110" s="2" t="s">
        <v>383</v>
      </c>
      <c r="D110" s="4">
        <v>45136</v>
      </c>
      <c r="E110" s="4" t="str">
        <f t="shared" si="1"/>
        <v>July-2023</v>
      </c>
      <c r="F110" s="2">
        <v>3478.28</v>
      </c>
      <c r="G110" s="2" t="s">
        <v>624</v>
      </c>
      <c r="H110" s="2" t="s">
        <v>614</v>
      </c>
    </row>
    <row r="111" spans="1:8" x14ac:dyDescent="0.3">
      <c r="A111" s="2" t="s">
        <v>727</v>
      </c>
      <c r="B111" s="2" t="s">
        <v>61</v>
      </c>
      <c r="C111" s="2" t="s">
        <v>384</v>
      </c>
      <c r="D111" s="4">
        <v>45126</v>
      </c>
      <c r="E111" s="4" t="str">
        <f t="shared" si="1"/>
        <v>July-2023</v>
      </c>
      <c r="F111" s="2">
        <v>3010.03</v>
      </c>
      <c r="G111" s="2" t="s">
        <v>624</v>
      </c>
      <c r="H111" s="2" t="s">
        <v>619</v>
      </c>
    </row>
    <row r="112" spans="1:8" x14ac:dyDescent="0.3">
      <c r="A112" s="2" t="s">
        <v>728</v>
      </c>
      <c r="B112" s="2" t="s">
        <v>118</v>
      </c>
      <c r="C112" s="2" t="s">
        <v>385</v>
      </c>
      <c r="D112" s="4">
        <v>45068</v>
      </c>
      <c r="E112" s="4" t="str">
        <f t="shared" si="1"/>
        <v>May-2023</v>
      </c>
      <c r="F112" s="2">
        <v>3787.93</v>
      </c>
      <c r="G112" s="2" t="s">
        <v>621</v>
      </c>
      <c r="H112" s="2" t="s">
        <v>616</v>
      </c>
    </row>
    <row r="113" spans="1:8" x14ac:dyDescent="0.3">
      <c r="A113" s="2" t="s">
        <v>729</v>
      </c>
      <c r="B113" s="2" t="s">
        <v>10</v>
      </c>
      <c r="C113" s="2" t="s">
        <v>386</v>
      </c>
      <c r="D113" s="4">
        <v>44937</v>
      </c>
      <c r="E113" s="4" t="str">
        <f t="shared" si="1"/>
        <v>January-2023</v>
      </c>
      <c r="F113" s="2">
        <v>2593.4299999999998</v>
      </c>
      <c r="G113" s="2" t="s">
        <v>613</v>
      </c>
      <c r="H113" s="2" t="s">
        <v>614</v>
      </c>
    </row>
    <row r="114" spans="1:8" x14ac:dyDescent="0.3">
      <c r="A114" s="2" t="s">
        <v>730</v>
      </c>
      <c r="B114" s="2" t="s">
        <v>77</v>
      </c>
      <c r="C114" s="2" t="s">
        <v>387</v>
      </c>
      <c r="D114" s="4">
        <v>45254</v>
      </c>
      <c r="E114" s="4" t="str">
        <f t="shared" si="1"/>
        <v>November-2023</v>
      </c>
      <c r="F114" s="2">
        <v>770.64</v>
      </c>
      <c r="G114" s="2" t="s">
        <v>613</v>
      </c>
      <c r="H114" s="2" t="s">
        <v>614</v>
      </c>
    </row>
    <row r="115" spans="1:8" x14ac:dyDescent="0.3">
      <c r="A115" s="2" t="s">
        <v>731</v>
      </c>
      <c r="B115" s="2" t="s">
        <v>178</v>
      </c>
      <c r="C115" s="2" t="s">
        <v>388</v>
      </c>
      <c r="D115" s="4">
        <v>45146</v>
      </c>
      <c r="E115" s="4" t="str">
        <f t="shared" si="1"/>
        <v>August-2023</v>
      </c>
      <c r="F115" s="2">
        <v>3030.34</v>
      </c>
      <c r="G115" s="2" t="s">
        <v>624</v>
      </c>
      <c r="H115" s="2" t="s">
        <v>614</v>
      </c>
    </row>
    <row r="116" spans="1:8" x14ac:dyDescent="0.3">
      <c r="A116" s="2" t="s">
        <v>732</v>
      </c>
      <c r="B116" s="2" t="s">
        <v>61</v>
      </c>
      <c r="C116" s="2" t="s">
        <v>389</v>
      </c>
      <c r="D116" s="4">
        <v>45224</v>
      </c>
      <c r="E116" s="4" t="str">
        <f t="shared" si="1"/>
        <v>October-2023</v>
      </c>
      <c r="F116" s="2">
        <v>4809.3100000000004</v>
      </c>
      <c r="G116" s="2" t="s">
        <v>613</v>
      </c>
      <c r="H116" s="2" t="s">
        <v>616</v>
      </c>
    </row>
    <row r="117" spans="1:8" x14ac:dyDescent="0.3">
      <c r="A117" s="2" t="s">
        <v>733</v>
      </c>
      <c r="B117" s="2" t="s">
        <v>30</v>
      </c>
      <c r="C117" s="2" t="s">
        <v>390</v>
      </c>
      <c r="D117" s="4">
        <v>45114</v>
      </c>
      <c r="E117" s="4" t="str">
        <f t="shared" si="1"/>
        <v>July-2023</v>
      </c>
      <c r="F117" s="2">
        <v>1288.8599999999999</v>
      </c>
      <c r="G117" s="2" t="s">
        <v>624</v>
      </c>
      <c r="H117" s="2" t="s">
        <v>616</v>
      </c>
    </row>
    <row r="118" spans="1:8" x14ac:dyDescent="0.3">
      <c r="A118" s="2" t="s">
        <v>734</v>
      </c>
      <c r="B118" s="2" t="s">
        <v>6</v>
      </c>
      <c r="C118" s="2" t="s">
        <v>391</v>
      </c>
      <c r="D118" s="4">
        <v>45097</v>
      </c>
      <c r="E118" s="4" t="str">
        <f t="shared" si="1"/>
        <v>June-2023</v>
      </c>
      <c r="F118" s="2">
        <v>3605.02</v>
      </c>
      <c r="G118" s="2" t="s">
        <v>621</v>
      </c>
      <c r="H118" s="2" t="s">
        <v>616</v>
      </c>
    </row>
    <row r="119" spans="1:8" x14ac:dyDescent="0.3">
      <c r="A119" s="2" t="s">
        <v>735</v>
      </c>
      <c r="B119" s="2" t="s">
        <v>102</v>
      </c>
      <c r="C119" s="2" t="s">
        <v>392</v>
      </c>
      <c r="D119" s="4">
        <v>45147</v>
      </c>
      <c r="E119" s="4" t="str">
        <f t="shared" si="1"/>
        <v>August-2023</v>
      </c>
      <c r="F119" s="2">
        <v>1404.2</v>
      </c>
      <c r="G119" s="2" t="s">
        <v>613</v>
      </c>
      <c r="H119" s="2" t="s">
        <v>619</v>
      </c>
    </row>
    <row r="120" spans="1:8" x14ac:dyDescent="0.3">
      <c r="A120" s="2" t="s">
        <v>736</v>
      </c>
      <c r="B120" s="2" t="s">
        <v>83</v>
      </c>
      <c r="C120" s="2" t="s">
        <v>393</v>
      </c>
      <c r="D120" s="4">
        <v>45278</v>
      </c>
      <c r="E120" s="4" t="str">
        <f t="shared" si="1"/>
        <v>December-2023</v>
      </c>
      <c r="F120" s="2">
        <v>2911.22</v>
      </c>
      <c r="G120" s="2" t="s">
        <v>621</v>
      </c>
      <c r="H120" s="2" t="s">
        <v>619</v>
      </c>
    </row>
    <row r="121" spans="1:8" x14ac:dyDescent="0.3">
      <c r="A121" s="2" t="s">
        <v>737</v>
      </c>
      <c r="B121" s="2" t="s">
        <v>6</v>
      </c>
      <c r="C121" s="2" t="s">
        <v>394</v>
      </c>
      <c r="D121" s="4">
        <v>45268</v>
      </c>
      <c r="E121" s="4" t="str">
        <f t="shared" si="1"/>
        <v>December-2023</v>
      </c>
      <c r="F121" s="2">
        <v>935.04</v>
      </c>
      <c r="G121" s="2" t="s">
        <v>613</v>
      </c>
      <c r="H121" s="2" t="s">
        <v>616</v>
      </c>
    </row>
    <row r="122" spans="1:8" x14ac:dyDescent="0.3">
      <c r="A122" s="2" t="s">
        <v>738</v>
      </c>
      <c r="B122" s="2" t="s">
        <v>49</v>
      </c>
      <c r="C122" s="2" t="s">
        <v>395</v>
      </c>
      <c r="D122" s="4">
        <v>45023</v>
      </c>
      <c r="E122" s="4" t="str">
        <f t="shared" si="1"/>
        <v>April-2023</v>
      </c>
      <c r="F122" s="2">
        <v>2526.67</v>
      </c>
      <c r="G122" s="2" t="s">
        <v>621</v>
      </c>
      <c r="H122" s="2" t="s">
        <v>614</v>
      </c>
    </row>
    <row r="123" spans="1:8" x14ac:dyDescent="0.3">
      <c r="A123" s="2" t="s">
        <v>739</v>
      </c>
      <c r="B123" s="2" t="s">
        <v>43</v>
      </c>
      <c r="C123" s="2" t="s">
        <v>396</v>
      </c>
      <c r="D123" s="4">
        <v>45118</v>
      </c>
      <c r="E123" s="4" t="str">
        <f t="shared" si="1"/>
        <v>July-2023</v>
      </c>
      <c r="F123" s="2">
        <v>3902.73</v>
      </c>
      <c r="G123" s="2" t="s">
        <v>613</v>
      </c>
      <c r="H123" s="2" t="s">
        <v>619</v>
      </c>
    </row>
    <row r="124" spans="1:8" x14ac:dyDescent="0.3">
      <c r="A124" s="2" t="s">
        <v>740</v>
      </c>
      <c r="B124" s="2" t="s">
        <v>61</v>
      </c>
      <c r="C124" s="2" t="s">
        <v>397</v>
      </c>
      <c r="D124" s="4">
        <v>44985</v>
      </c>
      <c r="E124" s="4" t="str">
        <f t="shared" si="1"/>
        <v>February-2023</v>
      </c>
      <c r="F124" s="2">
        <v>2064.0700000000002</v>
      </c>
      <c r="G124" s="2" t="s">
        <v>621</v>
      </c>
      <c r="H124" s="2" t="s">
        <v>616</v>
      </c>
    </row>
    <row r="125" spans="1:8" x14ac:dyDescent="0.3">
      <c r="A125" s="2" t="s">
        <v>741</v>
      </c>
      <c r="B125" s="2" t="s">
        <v>135</v>
      </c>
      <c r="C125" s="2" t="s">
        <v>398</v>
      </c>
      <c r="D125" s="4">
        <v>45001</v>
      </c>
      <c r="E125" s="4" t="str">
        <f t="shared" si="1"/>
        <v>March-2023</v>
      </c>
      <c r="F125" s="2">
        <v>3492.1</v>
      </c>
      <c r="G125" s="2" t="s">
        <v>621</v>
      </c>
      <c r="H125" s="2" t="s">
        <v>614</v>
      </c>
    </row>
    <row r="126" spans="1:8" x14ac:dyDescent="0.3">
      <c r="A126" s="2" t="s">
        <v>742</v>
      </c>
      <c r="B126" s="2" t="s">
        <v>83</v>
      </c>
      <c r="C126" s="2" t="s">
        <v>399</v>
      </c>
      <c r="D126" s="4">
        <v>44975</v>
      </c>
      <c r="E126" s="4" t="str">
        <f t="shared" si="1"/>
        <v>February-2023</v>
      </c>
      <c r="F126" s="2">
        <v>4079.52</v>
      </c>
      <c r="G126" s="2" t="s">
        <v>613</v>
      </c>
      <c r="H126" s="2" t="s">
        <v>619</v>
      </c>
    </row>
    <row r="127" spans="1:8" x14ac:dyDescent="0.3">
      <c r="A127" s="2" t="s">
        <v>743</v>
      </c>
      <c r="B127" s="2" t="s">
        <v>14</v>
      </c>
      <c r="C127" s="2" t="s">
        <v>400</v>
      </c>
      <c r="D127" s="4">
        <v>45232</v>
      </c>
      <c r="E127" s="4" t="str">
        <f t="shared" si="1"/>
        <v>November-2023</v>
      </c>
      <c r="F127" s="2">
        <v>4672.3</v>
      </c>
      <c r="G127" s="2" t="s">
        <v>621</v>
      </c>
      <c r="H127" s="2" t="s">
        <v>614</v>
      </c>
    </row>
    <row r="128" spans="1:8" x14ac:dyDescent="0.3">
      <c r="A128" s="2" t="s">
        <v>744</v>
      </c>
      <c r="B128" s="2" t="s">
        <v>118</v>
      </c>
      <c r="C128" s="2" t="s">
        <v>401</v>
      </c>
      <c r="D128" s="4">
        <v>45243</v>
      </c>
      <c r="E128" s="4" t="str">
        <f t="shared" si="1"/>
        <v>November-2023</v>
      </c>
      <c r="F128" s="2">
        <v>1555.89</v>
      </c>
      <c r="G128" s="2" t="s">
        <v>621</v>
      </c>
      <c r="H128" s="2" t="s">
        <v>614</v>
      </c>
    </row>
    <row r="129" spans="1:8" x14ac:dyDescent="0.3">
      <c r="A129" s="2" t="s">
        <v>745</v>
      </c>
      <c r="B129" s="2" t="s">
        <v>154</v>
      </c>
      <c r="C129" s="2" t="s">
        <v>402</v>
      </c>
      <c r="D129" s="4">
        <v>45031</v>
      </c>
      <c r="E129" s="4" t="str">
        <f t="shared" si="1"/>
        <v>April-2023</v>
      </c>
      <c r="F129" s="2">
        <v>2296.92</v>
      </c>
      <c r="G129" s="2" t="s">
        <v>621</v>
      </c>
      <c r="H129" s="2" t="s">
        <v>614</v>
      </c>
    </row>
    <row r="130" spans="1:8" x14ac:dyDescent="0.3">
      <c r="A130" s="2" t="s">
        <v>746</v>
      </c>
      <c r="B130" s="2" t="s">
        <v>63</v>
      </c>
      <c r="C130" s="2" t="s">
        <v>403</v>
      </c>
      <c r="D130" s="4">
        <v>45163</v>
      </c>
      <c r="E130" s="4" t="str">
        <f t="shared" si="1"/>
        <v>August-2023</v>
      </c>
      <c r="F130" s="2">
        <v>1185.8699999999999</v>
      </c>
      <c r="G130" s="2" t="s">
        <v>613</v>
      </c>
      <c r="H130" s="2" t="s">
        <v>614</v>
      </c>
    </row>
    <row r="131" spans="1:8" x14ac:dyDescent="0.3">
      <c r="A131" s="2" t="s">
        <v>747</v>
      </c>
      <c r="B131" s="2" t="s">
        <v>144</v>
      </c>
      <c r="C131" s="2" t="s">
        <v>404</v>
      </c>
      <c r="D131" s="4">
        <v>44980</v>
      </c>
      <c r="E131" s="4" t="str">
        <f t="shared" ref="E131:E194" si="2">TEXT(D131,"mmmm-yyyy")</f>
        <v>February-2023</v>
      </c>
      <c r="F131" s="2">
        <v>4966.18</v>
      </c>
      <c r="G131" s="2" t="s">
        <v>613</v>
      </c>
      <c r="H131" s="2" t="s">
        <v>619</v>
      </c>
    </row>
    <row r="132" spans="1:8" x14ac:dyDescent="0.3">
      <c r="A132" s="2" t="s">
        <v>748</v>
      </c>
      <c r="B132" s="2" t="s">
        <v>61</v>
      </c>
      <c r="C132" s="2" t="s">
        <v>405</v>
      </c>
      <c r="D132" s="4">
        <v>45057</v>
      </c>
      <c r="E132" s="4" t="str">
        <f t="shared" si="2"/>
        <v>May-2023</v>
      </c>
      <c r="F132" s="2">
        <v>4671.5</v>
      </c>
      <c r="G132" s="2" t="s">
        <v>621</v>
      </c>
      <c r="H132" s="2" t="s">
        <v>619</v>
      </c>
    </row>
    <row r="133" spans="1:8" x14ac:dyDescent="0.3">
      <c r="A133" s="2" t="s">
        <v>749</v>
      </c>
      <c r="B133" s="2" t="s">
        <v>112</v>
      </c>
      <c r="C133" s="2" t="s">
        <v>406</v>
      </c>
      <c r="D133" s="4">
        <v>45133</v>
      </c>
      <c r="E133" s="4" t="str">
        <f t="shared" si="2"/>
        <v>July-2023</v>
      </c>
      <c r="F133" s="2">
        <v>2929.81</v>
      </c>
      <c r="G133" s="2" t="s">
        <v>621</v>
      </c>
      <c r="H133" s="2" t="s">
        <v>619</v>
      </c>
    </row>
    <row r="134" spans="1:8" x14ac:dyDescent="0.3">
      <c r="A134" s="2" t="s">
        <v>750</v>
      </c>
      <c r="B134" s="2" t="s">
        <v>10</v>
      </c>
      <c r="C134" s="2" t="s">
        <v>407</v>
      </c>
      <c r="D134" s="4">
        <v>45008</v>
      </c>
      <c r="E134" s="4" t="str">
        <f t="shared" si="2"/>
        <v>March-2023</v>
      </c>
      <c r="F134" s="2">
        <v>4289.1499999999996</v>
      </c>
      <c r="G134" s="2" t="s">
        <v>613</v>
      </c>
      <c r="H134" s="2" t="s">
        <v>616</v>
      </c>
    </row>
    <row r="135" spans="1:8" x14ac:dyDescent="0.3">
      <c r="A135" s="2" t="s">
        <v>751</v>
      </c>
      <c r="B135" s="2" t="s">
        <v>14</v>
      </c>
      <c r="C135" s="2" t="s">
        <v>408</v>
      </c>
      <c r="D135" s="4">
        <v>45216</v>
      </c>
      <c r="E135" s="4" t="str">
        <f t="shared" si="2"/>
        <v>October-2023</v>
      </c>
      <c r="F135" s="2">
        <v>2844.31</v>
      </c>
      <c r="G135" s="2" t="s">
        <v>613</v>
      </c>
      <c r="H135" s="2" t="s">
        <v>619</v>
      </c>
    </row>
    <row r="136" spans="1:8" x14ac:dyDescent="0.3">
      <c r="A136" s="2" t="s">
        <v>752</v>
      </c>
      <c r="B136" s="2" t="s">
        <v>36</v>
      </c>
      <c r="C136" s="2" t="s">
        <v>409</v>
      </c>
      <c r="D136" s="4">
        <v>45178</v>
      </c>
      <c r="E136" s="4" t="str">
        <f t="shared" si="2"/>
        <v>September-2023</v>
      </c>
      <c r="F136" s="2">
        <v>3306.14</v>
      </c>
      <c r="G136" s="2" t="s">
        <v>621</v>
      </c>
      <c r="H136" s="2" t="s">
        <v>614</v>
      </c>
    </row>
    <row r="137" spans="1:8" x14ac:dyDescent="0.3">
      <c r="A137" s="2" t="s">
        <v>753</v>
      </c>
      <c r="B137" s="2" t="s">
        <v>135</v>
      </c>
      <c r="C137" s="2" t="s">
        <v>410</v>
      </c>
      <c r="D137" s="4">
        <v>45059</v>
      </c>
      <c r="E137" s="4" t="str">
        <f t="shared" si="2"/>
        <v>May-2023</v>
      </c>
      <c r="F137" s="2">
        <v>901.06</v>
      </c>
      <c r="G137" s="2" t="s">
        <v>621</v>
      </c>
      <c r="H137" s="2" t="s">
        <v>619</v>
      </c>
    </row>
    <row r="138" spans="1:8" x14ac:dyDescent="0.3">
      <c r="A138" s="2" t="s">
        <v>754</v>
      </c>
      <c r="B138" s="2" t="s">
        <v>93</v>
      </c>
      <c r="C138" s="2" t="s">
        <v>411</v>
      </c>
      <c r="D138" s="4">
        <v>45224</v>
      </c>
      <c r="E138" s="4" t="str">
        <f t="shared" si="2"/>
        <v>October-2023</v>
      </c>
      <c r="F138" s="2">
        <v>3898.72</v>
      </c>
      <c r="G138" s="2" t="s">
        <v>621</v>
      </c>
      <c r="H138" s="2" t="s">
        <v>614</v>
      </c>
    </row>
    <row r="139" spans="1:8" x14ac:dyDescent="0.3">
      <c r="A139" s="2" t="s">
        <v>755</v>
      </c>
      <c r="B139" s="2" t="s">
        <v>61</v>
      </c>
      <c r="C139" s="2" t="s">
        <v>412</v>
      </c>
      <c r="D139" s="4">
        <v>45286</v>
      </c>
      <c r="E139" s="4" t="str">
        <f t="shared" si="2"/>
        <v>December-2023</v>
      </c>
      <c r="F139" s="2">
        <v>1074.71</v>
      </c>
      <c r="G139" s="2" t="s">
        <v>624</v>
      </c>
      <c r="H139" s="2" t="s">
        <v>616</v>
      </c>
    </row>
    <row r="140" spans="1:8" x14ac:dyDescent="0.3">
      <c r="A140" s="2" t="s">
        <v>756</v>
      </c>
      <c r="B140" s="2" t="s">
        <v>77</v>
      </c>
      <c r="C140" s="2" t="s">
        <v>413</v>
      </c>
      <c r="D140" s="4">
        <v>45209</v>
      </c>
      <c r="E140" s="4" t="str">
        <f t="shared" si="2"/>
        <v>October-2023</v>
      </c>
      <c r="F140" s="2">
        <v>4217.3</v>
      </c>
      <c r="G140" s="2" t="s">
        <v>613</v>
      </c>
      <c r="H140" s="2" t="s">
        <v>614</v>
      </c>
    </row>
    <row r="141" spans="1:8" x14ac:dyDescent="0.3">
      <c r="A141" s="2" t="s">
        <v>757</v>
      </c>
      <c r="B141" s="2" t="s">
        <v>43</v>
      </c>
      <c r="C141" s="2" t="s">
        <v>414</v>
      </c>
      <c r="D141" s="4">
        <v>44962</v>
      </c>
      <c r="E141" s="4" t="str">
        <f t="shared" si="2"/>
        <v>February-2023</v>
      </c>
      <c r="F141" s="2">
        <v>4019.13</v>
      </c>
      <c r="G141" s="2" t="s">
        <v>624</v>
      </c>
      <c r="H141" s="2" t="s">
        <v>614</v>
      </c>
    </row>
    <row r="142" spans="1:8" x14ac:dyDescent="0.3">
      <c r="A142" s="2" t="s">
        <v>758</v>
      </c>
      <c r="B142" s="2" t="s">
        <v>154</v>
      </c>
      <c r="C142" s="2" t="s">
        <v>415</v>
      </c>
      <c r="D142" s="4">
        <v>45092</v>
      </c>
      <c r="E142" s="4" t="str">
        <f t="shared" si="2"/>
        <v>June-2023</v>
      </c>
      <c r="F142" s="2">
        <v>3689.35</v>
      </c>
      <c r="G142" s="2" t="s">
        <v>613</v>
      </c>
      <c r="H142" s="2" t="s">
        <v>614</v>
      </c>
    </row>
    <row r="143" spans="1:8" x14ac:dyDescent="0.3">
      <c r="A143" s="2" t="s">
        <v>759</v>
      </c>
      <c r="B143" s="2" t="s">
        <v>93</v>
      </c>
      <c r="C143" s="2" t="s">
        <v>416</v>
      </c>
      <c r="D143" s="4">
        <v>45231</v>
      </c>
      <c r="E143" s="4" t="str">
        <f t="shared" si="2"/>
        <v>November-2023</v>
      </c>
      <c r="F143" s="2">
        <v>662.72</v>
      </c>
      <c r="G143" s="2" t="s">
        <v>613</v>
      </c>
      <c r="H143" s="2" t="s">
        <v>616</v>
      </c>
    </row>
    <row r="144" spans="1:8" x14ac:dyDescent="0.3">
      <c r="A144" s="2" t="s">
        <v>760</v>
      </c>
      <c r="B144" s="2" t="s">
        <v>43</v>
      </c>
      <c r="C144" s="2" t="s">
        <v>417</v>
      </c>
      <c r="D144" s="4">
        <v>45190</v>
      </c>
      <c r="E144" s="4" t="str">
        <f t="shared" si="2"/>
        <v>September-2023</v>
      </c>
      <c r="F144" s="2">
        <v>1864.08</v>
      </c>
      <c r="G144" s="2" t="s">
        <v>613</v>
      </c>
      <c r="H144" s="2" t="s">
        <v>619</v>
      </c>
    </row>
    <row r="145" spans="1:8" x14ac:dyDescent="0.3">
      <c r="A145" s="2" t="s">
        <v>761</v>
      </c>
      <c r="B145" s="2" t="s">
        <v>170</v>
      </c>
      <c r="C145" s="2" t="s">
        <v>418</v>
      </c>
      <c r="D145" s="4">
        <v>45154</v>
      </c>
      <c r="E145" s="4" t="str">
        <f t="shared" si="2"/>
        <v>August-2023</v>
      </c>
      <c r="F145" s="2">
        <v>1684.01</v>
      </c>
      <c r="G145" s="2" t="s">
        <v>613</v>
      </c>
      <c r="H145" s="2" t="s">
        <v>619</v>
      </c>
    </row>
    <row r="146" spans="1:8" x14ac:dyDescent="0.3">
      <c r="A146" s="2" t="s">
        <v>762</v>
      </c>
      <c r="B146" s="2" t="s">
        <v>156</v>
      </c>
      <c r="C146" s="2" t="s">
        <v>419</v>
      </c>
      <c r="D146" s="4">
        <v>45241</v>
      </c>
      <c r="E146" s="4" t="str">
        <f t="shared" si="2"/>
        <v>November-2023</v>
      </c>
      <c r="F146" s="2">
        <v>2120.61</v>
      </c>
      <c r="G146" s="2" t="s">
        <v>613</v>
      </c>
      <c r="H146" s="2" t="s">
        <v>616</v>
      </c>
    </row>
    <row r="147" spans="1:8" x14ac:dyDescent="0.3">
      <c r="A147" s="2" t="s">
        <v>763</v>
      </c>
      <c r="B147" s="2" t="s">
        <v>56</v>
      </c>
      <c r="C147" s="2" t="s">
        <v>420</v>
      </c>
      <c r="D147" s="4">
        <v>44931</v>
      </c>
      <c r="E147" s="4" t="str">
        <f t="shared" si="2"/>
        <v>January-2023</v>
      </c>
      <c r="F147" s="2">
        <v>894.39</v>
      </c>
      <c r="G147" s="2" t="s">
        <v>613</v>
      </c>
      <c r="H147" s="2" t="s">
        <v>614</v>
      </c>
    </row>
    <row r="148" spans="1:8" x14ac:dyDescent="0.3">
      <c r="A148" s="2" t="s">
        <v>764</v>
      </c>
      <c r="B148" s="2" t="s">
        <v>54</v>
      </c>
      <c r="C148" s="2" t="s">
        <v>421</v>
      </c>
      <c r="D148" s="4">
        <v>45243</v>
      </c>
      <c r="E148" s="4" t="str">
        <f t="shared" si="2"/>
        <v>November-2023</v>
      </c>
      <c r="F148" s="2">
        <v>4716.3100000000004</v>
      </c>
      <c r="G148" s="2" t="s">
        <v>613</v>
      </c>
      <c r="H148" s="2" t="s">
        <v>619</v>
      </c>
    </row>
    <row r="149" spans="1:8" x14ac:dyDescent="0.3">
      <c r="A149" s="2" t="s">
        <v>765</v>
      </c>
      <c r="B149" s="2" t="s">
        <v>90</v>
      </c>
      <c r="C149" s="2" t="s">
        <v>422</v>
      </c>
      <c r="D149" s="4">
        <v>45266</v>
      </c>
      <c r="E149" s="4" t="str">
        <f t="shared" si="2"/>
        <v>December-2023</v>
      </c>
      <c r="F149" s="2">
        <v>2992.11</v>
      </c>
      <c r="G149" s="2" t="s">
        <v>624</v>
      </c>
      <c r="H149" s="2" t="s">
        <v>616</v>
      </c>
    </row>
    <row r="150" spans="1:8" x14ac:dyDescent="0.3">
      <c r="A150" s="2" t="s">
        <v>766</v>
      </c>
      <c r="B150" s="2" t="s">
        <v>93</v>
      </c>
      <c r="C150" s="2" t="s">
        <v>423</v>
      </c>
      <c r="D150" s="4">
        <v>45133</v>
      </c>
      <c r="E150" s="4" t="str">
        <f t="shared" si="2"/>
        <v>July-2023</v>
      </c>
      <c r="F150" s="2">
        <v>1874.86</v>
      </c>
      <c r="G150" s="2" t="s">
        <v>621</v>
      </c>
      <c r="H150" s="2" t="s">
        <v>619</v>
      </c>
    </row>
    <row r="151" spans="1:8" x14ac:dyDescent="0.3">
      <c r="A151" s="2" t="s">
        <v>767</v>
      </c>
      <c r="B151" s="2" t="s">
        <v>59</v>
      </c>
      <c r="C151" s="2" t="s">
        <v>424</v>
      </c>
      <c r="D151" s="4">
        <v>45154</v>
      </c>
      <c r="E151" s="4" t="str">
        <f t="shared" si="2"/>
        <v>August-2023</v>
      </c>
      <c r="F151" s="2">
        <v>2286.42</v>
      </c>
      <c r="G151" s="2" t="s">
        <v>621</v>
      </c>
      <c r="H151" s="2" t="s">
        <v>616</v>
      </c>
    </row>
    <row r="152" spans="1:8" x14ac:dyDescent="0.3">
      <c r="A152" s="2" t="s">
        <v>768</v>
      </c>
      <c r="B152" s="2" t="s">
        <v>27</v>
      </c>
      <c r="C152" s="2" t="s">
        <v>425</v>
      </c>
      <c r="D152" s="4">
        <v>44954</v>
      </c>
      <c r="E152" s="4" t="str">
        <f t="shared" si="2"/>
        <v>January-2023</v>
      </c>
      <c r="F152" s="2">
        <v>2512.41</v>
      </c>
      <c r="G152" s="2" t="s">
        <v>624</v>
      </c>
      <c r="H152" s="2" t="s">
        <v>614</v>
      </c>
    </row>
    <row r="153" spans="1:8" x14ac:dyDescent="0.3">
      <c r="A153" s="2" t="s">
        <v>769</v>
      </c>
      <c r="B153" s="2" t="s">
        <v>33</v>
      </c>
      <c r="C153" s="2" t="s">
        <v>426</v>
      </c>
      <c r="D153" s="4">
        <v>45030</v>
      </c>
      <c r="E153" s="4" t="str">
        <f t="shared" si="2"/>
        <v>April-2023</v>
      </c>
      <c r="F153" s="2">
        <v>3202.67</v>
      </c>
      <c r="G153" s="2" t="s">
        <v>624</v>
      </c>
      <c r="H153" s="2" t="s">
        <v>619</v>
      </c>
    </row>
    <row r="154" spans="1:8" x14ac:dyDescent="0.3">
      <c r="A154" s="2" t="s">
        <v>770</v>
      </c>
      <c r="B154" s="2" t="s">
        <v>118</v>
      </c>
      <c r="C154" s="2" t="s">
        <v>427</v>
      </c>
      <c r="D154" s="4">
        <v>45115</v>
      </c>
      <c r="E154" s="4" t="str">
        <f t="shared" si="2"/>
        <v>July-2023</v>
      </c>
      <c r="F154" s="2">
        <v>2820.56</v>
      </c>
      <c r="G154" s="2" t="s">
        <v>624</v>
      </c>
      <c r="H154" s="2" t="s">
        <v>616</v>
      </c>
    </row>
    <row r="155" spans="1:8" x14ac:dyDescent="0.3">
      <c r="A155" s="2" t="s">
        <v>771</v>
      </c>
      <c r="B155" s="2" t="s">
        <v>43</v>
      </c>
      <c r="C155" s="2" t="s">
        <v>428</v>
      </c>
      <c r="D155" s="4">
        <v>44991</v>
      </c>
      <c r="E155" s="4" t="str">
        <f t="shared" si="2"/>
        <v>March-2023</v>
      </c>
      <c r="F155" s="2">
        <v>4637.26</v>
      </c>
      <c r="G155" s="2" t="s">
        <v>624</v>
      </c>
      <c r="H155" s="2" t="s">
        <v>619</v>
      </c>
    </row>
    <row r="156" spans="1:8" x14ac:dyDescent="0.3">
      <c r="A156" s="2" t="s">
        <v>772</v>
      </c>
      <c r="B156" s="2" t="s">
        <v>14</v>
      </c>
      <c r="C156" s="2" t="s">
        <v>429</v>
      </c>
      <c r="D156" s="4">
        <v>44929</v>
      </c>
      <c r="E156" s="4" t="str">
        <f t="shared" si="2"/>
        <v>January-2023</v>
      </c>
      <c r="F156" s="2">
        <v>2736.34</v>
      </c>
      <c r="G156" s="2" t="s">
        <v>613</v>
      </c>
      <c r="H156" s="2" t="s">
        <v>619</v>
      </c>
    </row>
    <row r="157" spans="1:8" x14ac:dyDescent="0.3">
      <c r="A157" s="2" t="s">
        <v>773</v>
      </c>
      <c r="B157" s="2" t="s">
        <v>74</v>
      </c>
      <c r="C157" s="2" t="s">
        <v>430</v>
      </c>
      <c r="D157" s="4">
        <v>45252</v>
      </c>
      <c r="E157" s="4" t="str">
        <f t="shared" si="2"/>
        <v>November-2023</v>
      </c>
      <c r="F157" s="2">
        <v>4964.71</v>
      </c>
      <c r="G157" s="2" t="s">
        <v>621</v>
      </c>
      <c r="H157" s="2" t="s">
        <v>619</v>
      </c>
    </row>
    <row r="158" spans="1:8" x14ac:dyDescent="0.3">
      <c r="A158" s="2" t="s">
        <v>774</v>
      </c>
      <c r="B158" s="2" t="s">
        <v>77</v>
      </c>
      <c r="C158" s="2" t="s">
        <v>431</v>
      </c>
      <c r="D158" s="4">
        <v>45058</v>
      </c>
      <c r="E158" s="4" t="str">
        <f t="shared" si="2"/>
        <v>May-2023</v>
      </c>
      <c r="F158" s="2">
        <v>4331.41</v>
      </c>
      <c r="G158" s="2" t="s">
        <v>613</v>
      </c>
      <c r="H158" s="2" t="s">
        <v>619</v>
      </c>
    </row>
    <row r="159" spans="1:8" x14ac:dyDescent="0.3">
      <c r="A159" s="2" t="s">
        <v>775</v>
      </c>
      <c r="B159" s="2" t="s">
        <v>83</v>
      </c>
      <c r="C159" s="2" t="s">
        <v>432</v>
      </c>
      <c r="D159" s="4">
        <v>45119</v>
      </c>
      <c r="E159" s="4" t="str">
        <f t="shared" si="2"/>
        <v>July-2023</v>
      </c>
      <c r="F159" s="2">
        <v>1438.3</v>
      </c>
      <c r="G159" s="2" t="s">
        <v>621</v>
      </c>
      <c r="H159" s="2" t="s">
        <v>616</v>
      </c>
    </row>
    <row r="160" spans="1:8" x14ac:dyDescent="0.3">
      <c r="A160" s="2" t="s">
        <v>776</v>
      </c>
      <c r="B160" s="2" t="s">
        <v>27</v>
      </c>
      <c r="C160" s="2" t="s">
        <v>433</v>
      </c>
      <c r="D160" s="4">
        <v>45024</v>
      </c>
      <c r="E160" s="4" t="str">
        <f t="shared" si="2"/>
        <v>April-2023</v>
      </c>
      <c r="F160" s="2">
        <v>4687.68</v>
      </c>
      <c r="G160" s="2" t="s">
        <v>621</v>
      </c>
      <c r="H160" s="2" t="s">
        <v>614</v>
      </c>
    </row>
    <row r="161" spans="1:8" x14ac:dyDescent="0.3">
      <c r="A161" s="2" t="s">
        <v>777</v>
      </c>
      <c r="B161" s="2" t="s">
        <v>30</v>
      </c>
      <c r="C161" s="2" t="s">
        <v>434</v>
      </c>
      <c r="D161" s="4">
        <v>45277</v>
      </c>
      <c r="E161" s="4" t="str">
        <f t="shared" si="2"/>
        <v>December-2023</v>
      </c>
      <c r="F161" s="2">
        <v>1023.65</v>
      </c>
      <c r="G161" s="2" t="s">
        <v>624</v>
      </c>
      <c r="H161" s="2" t="s">
        <v>616</v>
      </c>
    </row>
    <row r="162" spans="1:8" x14ac:dyDescent="0.3">
      <c r="A162" s="2" t="s">
        <v>778</v>
      </c>
      <c r="B162" s="2" t="s">
        <v>21</v>
      </c>
      <c r="C162" s="2" t="s">
        <v>435</v>
      </c>
      <c r="D162" s="4">
        <v>45094</v>
      </c>
      <c r="E162" s="4" t="str">
        <f t="shared" si="2"/>
        <v>June-2023</v>
      </c>
      <c r="F162" s="2">
        <v>4178.5200000000004</v>
      </c>
      <c r="G162" s="2" t="s">
        <v>613</v>
      </c>
      <c r="H162" s="2" t="s">
        <v>616</v>
      </c>
    </row>
    <row r="163" spans="1:8" x14ac:dyDescent="0.3">
      <c r="A163" s="2" t="s">
        <v>779</v>
      </c>
      <c r="B163" s="2" t="s">
        <v>227</v>
      </c>
      <c r="C163" s="2" t="s">
        <v>436</v>
      </c>
      <c r="D163" s="4">
        <v>44927</v>
      </c>
      <c r="E163" s="4" t="str">
        <f t="shared" si="2"/>
        <v>January-2023</v>
      </c>
      <c r="F163" s="2">
        <v>2212.8000000000002</v>
      </c>
      <c r="G163" s="2" t="s">
        <v>624</v>
      </c>
      <c r="H163" s="2" t="s">
        <v>616</v>
      </c>
    </row>
    <row r="164" spans="1:8" x14ac:dyDescent="0.3">
      <c r="A164" s="2" t="s">
        <v>780</v>
      </c>
      <c r="B164" s="2" t="s">
        <v>30</v>
      </c>
      <c r="C164" s="2" t="s">
        <v>437</v>
      </c>
      <c r="D164" s="4">
        <v>45104</v>
      </c>
      <c r="E164" s="4" t="str">
        <f t="shared" si="2"/>
        <v>June-2023</v>
      </c>
      <c r="F164" s="2">
        <v>4450.88</v>
      </c>
      <c r="G164" s="2" t="s">
        <v>613</v>
      </c>
      <c r="H164" s="2" t="s">
        <v>614</v>
      </c>
    </row>
    <row r="165" spans="1:8" x14ac:dyDescent="0.3">
      <c r="A165" s="2" t="s">
        <v>781</v>
      </c>
      <c r="B165" s="2" t="s">
        <v>54</v>
      </c>
      <c r="C165" s="2" t="s">
        <v>438</v>
      </c>
      <c r="D165" s="4">
        <v>45135</v>
      </c>
      <c r="E165" s="4" t="str">
        <f t="shared" si="2"/>
        <v>July-2023</v>
      </c>
      <c r="F165" s="2">
        <v>4406.26</v>
      </c>
      <c r="G165" s="2" t="s">
        <v>621</v>
      </c>
      <c r="H165" s="2" t="s">
        <v>619</v>
      </c>
    </row>
    <row r="166" spans="1:8" x14ac:dyDescent="0.3">
      <c r="A166" s="2" t="s">
        <v>782</v>
      </c>
      <c r="B166" s="2" t="s">
        <v>90</v>
      </c>
      <c r="C166" s="2" t="s">
        <v>439</v>
      </c>
      <c r="D166" s="4">
        <v>45020</v>
      </c>
      <c r="E166" s="4" t="str">
        <f t="shared" si="2"/>
        <v>April-2023</v>
      </c>
      <c r="F166" s="2">
        <v>4126.66</v>
      </c>
      <c r="G166" s="2" t="s">
        <v>624</v>
      </c>
      <c r="H166" s="2" t="s">
        <v>619</v>
      </c>
    </row>
    <row r="167" spans="1:8" x14ac:dyDescent="0.3">
      <c r="A167" s="2" t="s">
        <v>783</v>
      </c>
      <c r="B167" s="2" t="s">
        <v>33</v>
      </c>
      <c r="C167" s="2" t="s">
        <v>440</v>
      </c>
      <c r="D167" s="4">
        <v>44938</v>
      </c>
      <c r="E167" s="4" t="str">
        <f t="shared" si="2"/>
        <v>January-2023</v>
      </c>
      <c r="F167" s="2">
        <v>4055.14</v>
      </c>
      <c r="G167" s="2" t="s">
        <v>624</v>
      </c>
      <c r="H167" s="2" t="s">
        <v>619</v>
      </c>
    </row>
    <row r="168" spans="1:8" x14ac:dyDescent="0.3">
      <c r="A168" s="2" t="s">
        <v>784</v>
      </c>
      <c r="B168" s="2" t="s">
        <v>118</v>
      </c>
      <c r="C168" s="2" t="s">
        <v>441</v>
      </c>
      <c r="D168" s="4">
        <v>45245</v>
      </c>
      <c r="E168" s="4" t="str">
        <f t="shared" si="2"/>
        <v>November-2023</v>
      </c>
      <c r="F168" s="2">
        <v>1871.06</v>
      </c>
      <c r="G168" s="2" t="s">
        <v>621</v>
      </c>
      <c r="H168" s="2" t="s">
        <v>614</v>
      </c>
    </row>
    <row r="169" spans="1:8" x14ac:dyDescent="0.3">
      <c r="A169" s="2" t="s">
        <v>785</v>
      </c>
      <c r="B169" s="2" t="s">
        <v>83</v>
      </c>
      <c r="C169" s="2" t="s">
        <v>442</v>
      </c>
      <c r="D169" s="4">
        <v>45198</v>
      </c>
      <c r="E169" s="4" t="str">
        <f t="shared" si="2"/>
        <v>September-2023</v>
      </c>
      <c r="F169" s="2">
        <v>864.14</v>
      </c>
      <c r="G169" s="2" t="s">
        <v>621</v>
      </c>
      <c r="H169" s="2" t="s">
        <v>619</v>
      </c>
    </row>
    <row r="170" spans="1:8" x14ac:dyDescent="0.3">
      <c r="A170" s="2" t="s">
        <v>786</v>
      </c>
      <c r="B170" s="2" t="s">
        <v>38</v>
      </c>
      <c r="C170" s="2" t="s">
        <v>443</v>
      </c>
      <c r="D170" s="4">
        <v>45131</v>
      </c>
      <c r="E170" s="4" t="str">
        <f t="shared" si="2"/>
        <v>July-2023</v>
      </c>
      <c r="F170" s="2">
        <v>2313.41</v>
      </c>
      <c r="G170" s="2" t="s">
        <v>621</v>
      </c>
      <c r="H170" s="2" t="s">
        <v>614</v>
      </c>
    </row>
    <row r="171" spans="1:8" x14ac:dyDescent="0.3">
      <c r="A171" s="2" t="s">
        <v>787</v>
      </c>
      <c r="B171" s="2" t="s">
        <v>122</v>
      </c>
      <c r="C171" s="2" t="s">
        <v>444</v>
      </c>
      <c r="D171" s="4">
        <v>44988</v>
      </c>
      <c r="E171" s="4" t="str">
        <f t="shared" si="2"/>
        <v>March-2023</v>
      </c>
      <c r="F171" s="2">
        <v>1280.8599999999999</v>
      </c>
      <c r="G171" s="2" t="s">
        <v>624</v>
      </c>
      <c r="H171" s="2" t="s">
        <v>619</v>
      </c>
    </row>
    <row r="172" spans="1:8" x14ac:dyDescent="0.3">
      <c r="A172" s="2" t="s">
        <v>788</v>
      </c>
      <c r="B172" s="2" t="s">
        <v>161</v>
      </c>
      <c r="C172" s="2" t="s">
        <v>445</v>
      </c>
      <c r="D172" s="4">
        <v>45034</v>
      </c>
      <c r="E172" s="4" t="str">
        <f t="shared" si="2"/>
        <v>April-2023</v>
      </c>
      <c r="F172" s="2">
        <v>3627.28</v>
      </c>
      <c r="G172" s="2" t="s">
        <v>613</v>
      </c>
      <c r="H172" s="2" t="s">
        <v>619</v>
      </c>
    </row>
    <row r="173" spans="1:8" x14ac:dyDescent="0.3">
      <c r="A173" s="2" t="s">
        <v>789</v>
      </c>
      <c r="B173" s="2" t="s">
        <v>178</v>
      </c>
      <c r="C173" s="2" t="s">
        <v>446</v>
      </c>
      <c r="D173" s="4">
        <v>44994</v>
      </c>
      <c r="E173" s="4" t="str">
        <f t="shared" si="2"/>
        <v>March-2023</v>
      </c>
      <c r="F173" s="2">
        <v>2057.4499999999998</v>
      </c>
      <c r="G173" s="2" t="s">
        <v>624</v>
      </c>
      <c r="H173" s="2" t="s">
        <v>616</v>
      </c>
    </row>
    <row r="174" spans="1:8" x14ac:dyDescent="0.3">
      <c r="A174" s="2" t="s">
        <v>790</v>
      </c>
      <c r="B174" s="2" t="s">
        <v>59</v>
      </c>
      <c r="C174" s="2" t="s">
        <v>447</v>
      </c>
      <c r="D174" s="4">
        <v>45081</v>
      </c>
      <c r="E174" s="4" t="str">
        <f t="shared" si="2"/>
        <v>June-2023</v>
      </c>
      <c r="F174" s="2">
        <v>4890.25</v>
      </c>
      <c r="G174" s="2" t="s">
        <v>613</v>
      </c>
      <c r="H174" s="2" t="s">
        <v>614</v>
      </c>
    </row>
    <row r="175" spans="1:8" x14ac:dyDescent="0.3">
      <c r="A175" s="2" t="s">
        <v>791</v>
      </c>
      <c r="B175" s="2" t="s">
        <v>43</v>
      </c>
      <c r="C175" s="2" t="s">
        <v>448</v>
      </c>
      <c r="D175" s="4">
        <v>45230</v>
      </c>
      <c r="E175" s="4" t="str">
        <f t="shared" si="2"/>
        <v>October-2023</v>
      </c>
      <c r="F175" s="2">
        <v>3384.37</v>
      </c>
      <c r="G175" s="2" t="s">
        <v>624</v>
      </c>
      <c r="H175" s="2" t="s">
        <v>616</v>
      </c>
    </row>
    <row r="176" spans="1:8" x14ac:dyDescent="0.3">
      <c r="A176" s="2" t="s">
        <v>792</v>
      </c>
      <c r="B176" s="2" t="s">
        <v>170</v>
      </c>
      <c r="C176" s="2" t="s">
        <v>449</v>
      </c>
      <c r="D176" s="4">
        <v>45221</v>
      </c>
      <c r="E176" s="4" t="str">
        <f t="shared" si="2"/>
        <v>October-2023</v>
      </c>
      <c r="F176" s="2">
        <v>4201.16</v>
      </c>
      <c r="G176" s="2" t="s">
        <v>624</v>
      </c>
      <c r="H176" s="2" t="s">
        <v>616</v>
      </c>
    </row>
    <row r="177" spans="1:8" x14ac:dyDescent="0.3">
      <c r="A177" s="2" t="s">
        <v>793</v>
      </c>
      <c r="B177" s="2" t="s">
        <v>85</v>
      </c>
      <c r="C177" s="2" t="s">
        <v>450</v>
      </c>
      <c r="D177" s="4">
        <v>45042</v>
      </c>
      <c r="E177" s="4" t="str">
        <f t="shared" si="2"/>
        <v>April-2023</v>
      </c>
      <c r="F177" s="2">
        <v>1096.3599999999999</v>
      </c>
      <c r="G177" s="2" t="s">
        <v>621</v>
      </c>
      <c r="H177" s="2" t="s">
        <v>616</v>
      </c>
    </row>
    <row r="178" spans="1:8" x14ac:dyDescent="0.3">
      <c r="A178" s="2" t="s">
        <v>794</v>
      </c>
      <c r="B178" s="2" t="s">
        <v>132</v>
      </c>
      <c r="C178" s="2" t="s">
        <v>451</v>
      </c>
      <c r="D178" s="4">
        <v>45154</v>
      </c>
      <c r="E178" s="4" t="str">
        <f t="shared" si="2"/>
        <v>August-2023</v>
      </c>
      <c r="F178" s="2">
        <v>4379.07</v>
      </c>
      <c r="G178" s="2" t="s">
        <v>613</v>
      </c>
      <c r="H178" s="2" t="s">
        <v>614</v>
      </c>
    </row>
    <row r="179" spans="1:8" x14ac:dyDescent="0.3">
      <c r="A179" s="2" t="s">
        <v>795</v>
      </c>
      <c r="B179" s="2" t="s">
        <v>144</v>
      </c>
      <c r="C179" s="2" t="s">
        <v>452</v>
      </c>
      <c r="D179" s="4">
        <v>44943</v>
      </c>
      <c r="E179" s="4" t="str">
        <f t="shared" si="2"/>
        <v>January-2023</v>
      </c>
      <c r="F179" s="2">
        <v>4652.41</v>
      </c>
      <c r="G179" s="2" t="s">
        <v>624</v>
      </c>
      <c r="H179" s="2" t="s">
        <v>614</v>
      </c>
    </row>
    <row r="180" spans="1:8" x14ac:dyDescent="0.3">
      <c r="A180" s="2" t="s">
        <v>796</v>
      </c>
      <c r="B180" s="2" t="s">
        <v>245</v>
      </c>
      <c r="C180" s="2" t="s">
        <v>453</v>
      </c>
      <c r="D180" s="4">
        <v>44993</v>
      </c>
      <c r="E180" s="4" t="str">
        <f t="shared" si="2"/>
        <v>March-2023</v>
      </c>
      <c r="F180" s="2">
        <v>2691.78</v>
      </c>
      <c r="G180" s="2" t="s">
        <v>624</v>
      </c>
      <c r="H180" s="2" t="s">
        <v>619</v>
      </c>
    </row>
    <row r="181" spans="1:8" x14ac:dyDescent="0.3">
      <c r="A181" s="2" t="s">
        <v>797</v>
      </c>
      <c r="B181" s="2" t="s">
        <v>156</v>
      </c>
      <c r="C181" s="2" t="s">
        <v>454</v>
      </c>
      <c r="D181" s="4">
        <v>44933</v>
      </c>
      <c r="E181" s="4" t="str">
        <f t="shared" si="2"/>
        <v>January-2023</v>
      </c>
      <c r="F181" s="2">
        <v>3228.14</v>
      </c>
      <c r="G181" s="2" t="s">
        <v>621</v>
      </c>
      <c r="H181" s="2" t="s">
        <v>616</v>
      </c>
    </row>
    <row r="182" spans="1:8" x14ac:dyDescent="0.3">
      <c r="A182" s="2" t="s">
        <v>798</v>
      </c>
      <c r="B182" s="2" t="s">
        <v>65</v>
      </c>
      <c r="C182" s="2" t="s">
        <v>455</v>
      </c>
      <c r="D182" s="4">
        <v>45172</v>
      </c>
      <c r="E182" s="4" t="str">
        <f t="shared" si="2"/>
        <v>September-2023</v>
      </c>
      <c r="F182" s="2">
        <v>3941.64</v>
      </c>
      <c r="G182" s="2" t="s">
        <v>621</v>
      </c>
      <c r="H182" s="2" t="s">
        <v>619</v>
      </c>
    </row>
    <row r="183" spans="1:8" x14ac:dyDescent="0.3">
      <c r="A183" s="2" t="s">
        <v>799</v>
      </c>
      <c r="B183" s="2" t="s">
        <v>135</v>
      </c>
      <c r="C183" s="2" t="s">
        <v>456</v>
      </c>
      <c r="D183" s="4">
        <v>45028</v>
      </c>
      <c r="E183" s="4" t="str">
        <f t="shared" si="2"/>
        <v>April-2023</v>
      </c>
      <c r="F183" s="2">
        <v>1286.77</v>
      </c>
      <c r="G183" s="2" t="s">
        <v>613</v>
      </c>
      <c r="H183" s="2" t="s">
        <v>616</v>
      </c>
    </row>
    <row r="184" spans="1:8" x14ac:dyDescent="0.3">
      <c r="A184" s="2" t="s">
        <v>800</v>
      </c>
      <c r="B184" s="2" t="s">
        <v>17</v>
      </c>
      <c r="C184" s="2" t="s">
        <v>457</v>
      </c>
      <c r="D184" s="4">
        <v>44960</v>
      </c>
      <c r="E184" s="4" t="str">
        <f t="shared" si="2"/>
        <v>February-2023</v>
      </c>
      <c r="F184" s="2">
        <v>2761.55</v>
      </c>
      <c r="G184" s="2" t="s">
        <v>624</v>
      </c>
      <c r="H184" s="2" t="s">
        <v>614</v>
      </c>
    </row>
    <row r="185" spans="1:8" x14ac:dyDescent="0.3">
      <c r="A185" s="2" t="s">
        <v>801</v>
      </c>
      <c r="B185" s="2" t="s">
        <v>227</v>
      </c>
      <c r="C185" s="2" t="s">
        <v>458</v>
      </c>
      <c r="D185" s="4">
        <v>44983</v>
      </c>
      <c r="E185" s="4" t="str">
        <f t="shared" si="2"/>
        <v>February-2023</v>
      </c>
      <c r="F185" s="2">
        <v>2293.98</v>
      </c>
      <c r="G185" s="2" t="s">
        <v>613</v>
      </c>
      <c r="H185" s="2" t="s">
        <v>614</v>
      </c>
    </row>
    <row r="186" spans="1:8" x14ac:dyDescent="0.3">
      <c r="A186" s="2" t="s">
        <v>802</v>
      </c>
      <c r="B186" s="2" t="s">
        <v>170</v>
      </c>
      <c r="C186" s="2" t="s">
        <v>459</v>
      </c>
      <c r="D186" s="4">
        <v>45006</v>
      </c>
      <c r="E186" s="4" t="str">
        <f t="shared" si="2"/>
        <v>March-2023</v>
      </c>
      <c r="F186" s="2">
        <v>1158.68</v>
      </c>
      <c r="G186" s="2" t="s">
        <v>624</v>
      </c>
      <c r="H186" s="2" t="s">
        <v>614</v>
      </c>
    </row>
    <row r="187" spans="1:8" x14ac:dyDescent="0.3">
      <c r="A187" s="2" t="s">
        <v>803</v>
      </c>
      <c r="B187" s="2" t="s">
        <v>116</v>
      </c>
      <c r="C187" s="2" t="s">
        <v>460</v>
      </c>
      <c r="D187" s="4">
        <v>45012</v>
      </c>
      <c r="E187" s="4" t="str">
        <f t="shared" si="2"/>
        <v>March-2023</v>
      </c>
      <c r="F187" s="2">
        <v>2153.9</v>
      </c>
      <c r="G187" s="2" t="s">
        <v>613</v>
      </c>
      <c r="H187" s="2" t="s">
        <v>616</v>
      </c>
    </row>
    <row r="188" spans="1:8" x14ac:dyDescent="0.3">
      <c r="A188" s="2" t="s">
        <v>804</v>
      </c>
      <c r="B188" s="2" t="s">
        <v>110</v>
      </c>
      <c r="C188" s="2" t="s">
        <v>461</v>
      </c>
      <c r="D188" s="4">
        <v>44970</v>
      </c>
      <c r="E188" s="4" t="str">
        <f t="shared" si="2"/>
        <v>February-2023</v>
      </c>
      <c r="F188" s="2">
        <v>806.78</v>
      </c>
      <c r="G188" s="2" t="s">
        <v>621</v>
      </c>
      <c r="H188" s="2" t="s">
        <v>614</v>
      </c>
    </row>
    <row r="189" spans="1:8" x14ac:dyDescent="0.3">
      <c r="A189" s="2" t="s">
        <v>805</v>
      </c>
      <c r="B189" s="2" t="s">
        <v>105</v>
      </c>
      <c r="C189" s="2" t="s">
        <v>462</v>
      </c>
      <c r="D189" s="4">
        <v>45028</v>
      </c>
      <c r="E189" s="4" t="str">
        <f t="shared" si="2"/>
        <v>April-2023</v>
      </c>
      <c r="F189" s="2">
        <v>616.15</v>
      </c>
      <c r="G189" s="2" t="s">
        <v>624</v>
      </c>
      <c r="H189" s="2" t="s">
        <v>616</v>
      </c>
    </row>
    <row r="190" spans="1:8" x14ac:dyDescent="0.3">
      <c r="A190" s="2" t="s">
        <v>806</v>
      </c>
      <c r="B190" s="2" t="s">
        <v>33</v>
      </c>
      <c r="C190" s="2" t="s">
        <v>463</v>
      </c>
      <c r="D190" s="4">
        <v>45204</v>
      </c>
      <c r="E190" s="4" t="str">
        <f t="shared" si="2"/>
        <v>October-2023</v>
      </c>
      <c r="F190" s="2">
        <v>1108.25</v>
      </c>
      <c r="G190" s="2" t="s">
        <v>613</v>
      </c>
      <c r="H190" s="2" t="s">
        <v>619</v>
      </c>
    </row>
    <row r="191" spans="1:8" x14ac:dyDescent="0.3">
      <c r="A191" s="2" t="s">
        <v>807</v>
      </c>
      <c r="B191" s="2" t="s">
        <v>38</v>
      </c>
      <c r="C191" s="2" t="s">
        <v>464</v>
      </c>
      <c r="D191" s="4">
        <v>45246</v>
      </c>
      <c r="E191" s="4" t="str">
        <f t="shared" si="2"/>
        <v>November-2023</v>
      </c>
      <c r="F191" s="2">
        <v>4834.0200000000004</v>
      </c>
      <c r="G191" s="2" t="s">
        <v>621</v>
      </c>
      <c r="H191" s="2" t="s">
        <v>616</v>
      </c>
    </row>
    <row r="192" spans="1:8" x14ac:dyDescent="0.3">
      <c r="A192" s="2" t="s">
        <v>808</v>
      </c>
      <c r="B192" s="2" t="s">
        <v>49</v>
      </c>
      <c r="C192" s="2" t="s">
        <v>465</v>
      </c>
      <c r="D192" s="4">
        <v>45028</v>
      </c>
      <c r="E192" s="4" t="str">
        <f t="shared" si="2"/>
        <v>April-2023</v>
      </c>
      <c r="F192" s="2">
        <v>2972.88</v>
      </c>
      <c r="G192" s="2" t="s">
        <v>621</v>
      </c>
      <c r="H192" s="2" t="s">
        <v>619</v>
      </c>
    </row>
    <row r="193" spans="1:8" x14ac:dyDescent="0.3">
      <c r="A193" s="2" t="s">
        <v>809</v>
      </c>
      <c r="B193" s="2" t="s">
        <v>245</v>
      </c>
      <c r="C193" s="2" t="s">
        <v>466</v>
      </c>
      <c r="D193" s="4">
        <v>45169</v>
      </c>
      <c r="E193" s="4" t="str">
        <f t="shared" si="2"/>
        <v>August-2023</v>
      </c>
      <c r="F193" s="2">
        <v>4846.2</v>
      </c>
      <c r="G193" s="2" t="s">
        <v>613</v>
      </c>
      <c r="H193" s="2" t="s">
        <v>616</v>
      </c>
    </row>
    <row r="194" spans="1:8" x14ac:dyDescent="0.3">
      <c r="A194" s="2" t="s">
        <v>810</v>
      </c>
      <c r="B194" s="2" t="s">
        <v>93</v>
      </c>
      <c r="C194" s="2" t="s">
        <v>467</v>
      </c>
      <c r="D194" s="4">
        <v>45184</v>
      </c>
      <c r="E194" s="4" t="str">
        <f t="shared" si="2"/>
        <v>September-2023</v>
      </c>
      <c r="F194" s="2">
        <v>2446.2399999999998</v>
      </c>
      <c r="G194" s="2" t="s">
        <v>624</v>
      </c>
      <c r="H194" s="2" t="s">
        <v>619</v>
      </c>
    </row>
    <row r="195" spans="1:8" x14ac:dyDescent="0.3">
      <c r="A195" s="2" t="s">
        <v>811</v>
      </c>
      <c r="B195" s="2" t="s">
        <v>147</v>
      </c>
      <c r="C195" s="2" t="s">
        <v>468</v>
      </c>
      <c r="D195" s="4">
        <v>45022</v>
      </c>
      <c r="E195" s="4" t="str">
        <f t="shared" ref="E195:E201" si="3">TEXT(D195,"mmmm-yyyy")</f>
        <v>April-2023</v>
      </c>
      <c r="F195" s="2">
        <v>1903.17</v>
      </c>
      <c r="G195" s="2" t="s">
        <v>624</v>
      </c>
      <c r="H195" s="2" t="s">
        <v>614</v>
      </c>
    </row>
    <row r="196" spans="1:8" x14ac:dyDescent="0.3">
      <c r="A196" s="2" t="s">
        <v>812</v>
      </c>
      <c r="B196" s="2" t="s">
        <v>10</v>
      </c>
      <c r="C196" s="2" t="s">
        <v>469</v>
      </c>
      <c r="D196" s="4">
        <v>45157</v>
      </c>
      <c r="E196" s="4" t="str">
        <f t="shared" si="3"/>
        <v>August-2023</v>
      </c>
      <c r="F196" s="2">
        <v>2777.64</v>
      </c>
      <c r="G196" s="2" t="s">
        <v>621</v>
      </c>
      <c r="H196" s="2" t="s">
        <v>619</v>
      </c>
    </row>
    <row r="197" spans="1:8" x14ac:dyDescent="0.3">
      <c r="A197" s="2" t="s">
        <v>813</v>
      </c>
      <c r="B197" s="2" t="s">
        <v>21</v>
      </c>
      <c r="C197" s="2" t="s">
        <v>470</v>
      </c>
      <c r="D197" s="4">
        <v>45225</v>
      </c>
      <c r="E197" s="4" t="str">
        <f t="shared" si="3"/>
        <v>October-2023</v>
      </c>
      <c r="F197" s="2">
        <v>2477.8000000000002</v>
      </c>
      <c r="G197" s="2" t="s">
        <v>624</v>
      </c>
      <c r="H197" s="2" t="s">
        <v>614</v>
      </c>
    </row>
    <row r="198" spans="1:8" x14ac:dyDescent="0.3">
      <c r="A198" s="2" t="s">
        <v>814</v>
      </c>
      <c r="B198" s="2" t="s">
        <v>24</v>
      </c>
      <c r="C198" s="2" t="s">
        <v>471</v>
      </c>
      <c r="D198" s="4">
        <v>45017</v>
      </c>
      <c r="E198" s="4" t="str">
        <f t="shared" si="3"/>
        <v>April-2023</v>
      </c>
      <c r="F198" s="2">
        <v>975.49</v>
      </c>
      <c r="G198" s="2" t="s">
        <v>624</v>
      </c>
      <c r="H198" s="2" t="s">
        <v>614</v>
      </c>
    </row>
    <row r="199" spans="1:8" x14ac:dyDescent="0.3">
      <c r="A199" s="2" t="s">
        <v>815</v>
      </c>
      <c r="B199" s="2" t="s">
        <v>36</v>
      </c>
      <c r="C199" s="2" t="s">
        <v>472</v>
      </c>
      <c r="D199" s="4">
        <v>45061</v>
      </c>
      <c r="E199" s="4" t="str">
        <f t="shared" si="3"/>
        <v>May-2023</v>
      </c>
      <c r="F199" s="2">
        <v>3383.72</v>
      </c>
      <c r="G199" s="2" t="s">
        <v>624</v>
      </c>
      <c r="H199" s="2" t="s">
        <v>619</v>
      </c>
    </row>
    <row r="200" spans="1:8" x14ac:dyDescent="0.3">
      <c r="A200" s="2" t="s">
        <v>816</v>
      </c>
      <c r="B200" s="2" t="s">
        <v>144</v>
      </c>
      <c r="C200" s="2" t="s">
        <v>473</v>
      </c>
      <c r="D200" s="4">
        <v>45047</v>
      </c>
      <c r="E200" s="4" t="str">
        <f t="shared" si="3"/>
        <v>May-2023</v>
      </c>
      <c r="F200" s="2">
        <v>1472.17</v>
      </c>
      <c r="G200" s="2" t="s">
        <v>621</v>
      </c>
      <c r="H200" s="2" t="s">
        <v>616</v>
      </c>
    </row>
    <row r="201" spans="1:8" x14ac:dyDescent="0.3">
      <c r="A201" s="2" t="s">
        <v>817</v>
      </c>
      <c r="B201" s="2" t="s">
        <v>156</v>
      </c>
      <c r="C201" s="2" t="s">
        <v>474</v>
      </c>
      <c r="D201" s="4">
        <v>45290</v>
      </c>
      <c r="E201" s="4" t="str">
        <f t="shared" si="3"/>
        <v>December-2023</v>
      </c>
      <c r="F201" s="2">
        <v>3288.15</v>
      </c>
      <c r="G201" s="2" t="s">
        <v>613</v>
      </c>
      <c r="H201" s="2" t="s">
        <v>616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AA9F5-EE4F-4A17-9884-F0ACE7519A0F}">
  <dimension ref="A1:F201"/>
  <sheetViews>
    <sheetView workbookViewId="0">
      <selection sqref="A1:XFD1048576"/>
    </sheetView>
  </sheetViews>
  <sheetFormatPr defaultRowHeight="14.4" x14ac:dyDescent="0.3"/>
  <cols>
    <col min="1" max="1" width="11.6640625" bestFit="1" customWidth="1"/>
    <col min="2" max="2" width="14" bestFit="1" customWidth="1"/>
    <col min="3" max="3" width="13.88671875" bestFit="1" customWidth="1"/>
    <col min="4" max="4" width="17.21875" bestFit="1" customWidth="1"/>
    <col min="5" max="5" width="8" bestFit="1" customWidth="1"/>
    <col min="6" max="6" width="14" bestFit="1" customWidth="1"/>
  </cols>
  <sheetData>
    <row r="1" spans="1:6" x14ac:dyDescent="0.3">
      <c r="A1" s="3" t="s">
        <v>820</v>
      </c>
      <c r="B1" s="3" t="s">
        <v>825</v>
      </c>
      <c r="C1" s="3" t="s">
        <v>831</v>
      </c>
      <c r="D1" s="3" t="s">
        <v>832</v>
      </c>
      <c r="E1" s="3" t="s">
        <v>833</v>
      </c>
      <c r="F1" s="3" t="s">
        <v>834</v>
      </c>
    </row>
    <row r="2" spans="1:6" x14ac:dyDescent="0.3">
      <c r="A2" s="2" t="s">
        <v>267</v>
      </c>
      <c r="B2" s="2" t="s">
        <v>0</v>
      </c>
      <c r="C2" s="2" t="s">
        <v>268</v>
      </c>
      <c r="D2" s="2" t="s">
        <v>269</v>
      </c>
      <c r="E2" s="2">
        <v>3941.97</v>
      </c>
      <c r="F2" s="4">
        <v>45147</v>
      </c>
    </row>
    <row r="3" spans="1:6" x14ac:dyDescent="0.3">
      <c r="A3" s="2" t="s">
        <v>270</v>
      </c>
      <c r="B3" s="2" t="s">
        <v>5</v>
      </c>
      <c r="C3" s="2" t="s">
        <v>271</v>
      </c>
      <c r="D3" s="2" t="s">
        <v>272</v>
      </c>
      <c r="E3" s="2">
        <v>4158.4399999999996</v>
      </c>
      <c r="F3" s="4">
        <v>45086</v>
      </c>
    </row>
    <row r="4" spans="1:6" x14ac:dyDescent="0.3">
      <c r="A4" s="2" t="s">
        <v>273</v>
      </c>
      <c r="B4" s="2" t="s">
        <v>9</v>
      </c>
      <c r="C4" s="2" t="s">
        <v>271</v>
      </c>
      <c r="D4" s="2" t="s">
        <v>274</v>
      </c>
      <c r="E4" s="2">
        <v>3731.55</v>
      </c>
      <c r="F4" s="4">
        <v>45105</v>
      </c>
    </row>
    <row r="5" spans="1:6" x14ac:dyDescent="0.3">
      <c r="A5" s="2" t="s">
        <v>275</v>
      </c>
      <c r="B5" s="2" t="s">
        <v>13</v>
      </c>
      <c r="C5" s="2" t="s">
        <v>271</v>
      </c>
      <c r="D5" s="2" t="s">
        <v>269</v>
      </c>
      <c r="E5" s="2">
        <v>4799.8599999999997</v>
      </c>
      <c r="F5" s="4">
        <v>45170</v>
      </c>
    </row>
    <row r="6" spans="1:6" x14ac:dyDescent="0.3">
      <c r="A6" s="2" t="s">
        <v>276</v>
      </c>
      <c r="B6" s="2" t="s">
        <v>16</v>
      </c>
      <c r="C6" s="2" t="s">
        <v>277</v>
      </c>
      <c r="D6" s="2" t="s">
        <v>274</v>
      </c>
      <c r="E6" s="2">
        <v>582.04999999999995</v>
      </c>
      <c r="F6" s="4">
        <v>45113</v>
      </c>
    </row>
    <row r="7" spans="1:6" x14ac:dyDescent="0.3">
      <c r="A7" s="2" t="s">
        <v>278</v>
      </c>
      <c r="B7" s="2" t="s">
        <v>20</v>
      </c>
      <c r="C7" s="2" t="s">
        <v>268</v>
      </c>
      <c r="D7" s="2" t="s">
        <v>274</v>
      </c>
      <c r="E7" s="2">
        <v>1381</v>
      </c>
      <c r="F7" s="4">
        <v>45096</v>
      </c>
    </row>
    <row r="8" spans="1:6" x14ac:dyDescent="0.3">
      <c r="A8" s="2" t="s">
        <v>279</v>
      </c>
      <c r="B8" s="2" t="s">
        <v>23</v>
      </c>
      <c r="C8" s="2" t="s">
        <v>268</v>
      </c>
      <c r="D8" s="2" t="s">
        <v>272</v>
      </c>
      <c r="E8" s="2">
        <v>534.03</v>
      </c>
      <c r="F8" s="4">
        <v>45025</v>
      </c>
    </row>
    <row r="9" spans="1:6" x14ac:dyDescent="0.3">
      <c r="A9" s="2" t="s">
        <v>280</v>
      </c>
      <c r="B9" s="2" t="s">
        <v>26</v>
      </c>
      <c r="C9" s="2" t="s">
        <v>281</v>
      </c>
      <c r="D9" s="2" t="s">
        <v>269</v>
      </c>
      <c r="E9" s="2">
        <v>3413.64</v>
      </c>
      <c r="F9" s="4">
        <v>45070</v>
      </c>
    </row>
    <row r="10" spans="1:6" x14ac:dyDescent="0.3">
      <c r="A10" s="2" t="s">
        <v>282</v>
      </c>
      <c r="B10" s="2" t="s">
        <v>29</v>
      </c>
      <c r="C10" s="2" t="s">
        <v>281</v>
      </c>
      <c r="D10" s="2" t="s">
        <v>274</v>
      </c>
      <c r="E10" s="2">
        <v>4541.1400000000003</v>
      </c>
      <c r="F10" s="4">
        <v>44990</v>
      </c>
    </row>
    <row r="11" spans="1:6" x14ac:dyDescent="0.3">
      <c r="A11" s="2" t="s">
        <v>283</v>
      </c>
      <c r="B11" s="2" t="s">
        <v>32</v>
      </c>
      <c r="C11" s="2" t="s">
        <v>281</v>
      </c>
      <c r="D11" s="2" t="s">
        <v>274</v>
      </c>
      <c r="E11" s="2">
        <v>1595.67</v>
      </c>
      <c r="F11" s="4">
        <v>44939</v>
      </c>
    </row>
    <row r="12" spans="1:6" x14ac:dyDescent="0.3">
      <c r="A12" s="2" t="s">
        <v>284</v>
      </c>
      <c r="B12" s="2" t="s">
        <v>35</v>
      </c>
      <c r="C12" s="2" t="s">
        <v>271</v>
      </c>
      <c r="D12" s="2" t="s">
        <v>269</v>
      </c>
      <c r="E12" s="2">
        <v>4671.66</v>
      </c>
      <c r="F12" s="4">
        <v>45242</v>
      </c>
    </row>
    <row r="13" spans="1:6" x14ac:dyDescent="0.3">
      <c r="A13" s="2" t="s">
        <v>285</v>
      </c>
      <c r="B13" s="2" t="s">
        <v>37</v>
      </c>
      <c r="C13" s="2" t="s">
        <v>268</v>
      </c>
      <c r="D13" s="2" t="s">
        <v>274</v>
      </c>
      <c r="E13" s="2">
        <v>771.2</v>
      </c>
      <c r="F13" s="4">
        <v>45053</v>
      </c>
    </row>
    <row r="14" spans="1:6" x14ac:dyDescent="0.3">
      <c r="A14" s="2" t="s">
        <v>286</v>
      </c>
      <c r="B14" s="2" t="s">
        <v>39</v>
      </c>
      <c r="C14" s="2" t="s">
        <v>271</v>
      </c>
      <c r="D14" s="2" t="s">
        <v>274</v>
      </c>
      <c r="E14" s="2">
        <v>4704.96</v>
      </c>
      <c r="F14" s="4">
        <v>45154</v>
      </c>
    </row>
    <row r="15" spans="1:6" x14ac:dyDescent="0.3">
      <c r="A15" s="2" t="s">
        <v>287</v>
      </c>
      <c r="B15" s="2" t="s">
        <v>42</v>
      </c>
      <c r="C15" s="2" t="s">
        <v>277</v>
      </c>
      <c r="D15" s="2" t="s">
        <v>269</v>
      </c>
      <c r="E15" s="2">
        <v>2082.3000000000002</v>
      </c>
      <c r="F15" s="4">
        <v>45071</v>
      </c>
    </row>
    <row r="16" spans="1:6" x14ac:dyDescent="0.3">
      <c r="A16" s="2" t="s">
        <v>288</v>
      </c>
      <c r="B16" s="2" t="s">
        <v>44</v>
      </c>
      <c r="C16" s="2" t="s">
        <v>281</v>
      </c>
      <c r="D16" s="2" t="s">
        <v>269</v>
      </c>
      <c r="E16" s="2">
        <v>956.39</v>
      </c>
      <c r="F16" s="4">
        <v>44941</v>
      </c>
    </row>
    <row r="17" spans="1:6" x14ac:dyDescent="0.3">
      <c r="A17" s="2" t="s">
        <v>289</v>
      </c>
      <c r="B17" s="2" t="s">
        <v>46</v>
      </c>
      <c r="C17" s="2" t="s">
        <v>271</v>
      </c>
      <c r="D17" s="2" t="s">
        <v>269</v>
      </c>
      <c r="E17" s="2">
        <v>2686.42</v>
      </c>
      <c r="F17" s="4">
        <v>45107</v>
      </c>
    </row>
    <row r="18" spans="1:6" x14ac:dyDescent="0.3">
      <c r="A18" s="2" t="s">
        <v>290</v>
      </c>
      <c r="B18" s="2" t="s">
        <v>48</v>
      </c>
      <c r="C18" s="2" t="s">
        <v>271</v>
      </c>
      <c r="D18" s="2" t="s">
        <v>269</v>
      </c>
      <c r="E18" s="2">
        <v>1655.49</v>
      </c>
      <c r="F18" s="4">
        <v>45118</v>
      </c>
    </row>
    <row r="19" spans="1:6" x14ac:dyDescent="0.3">
      <c r="A19" s="2" t="s">
        <v>291</v>
      </c>
      <c r="B19" s="2" t="s">
        <v>50</v>
      </c>
      <c r="C19" s="2" t="s">
        <v>277</v>
      </c>
      <c r="D19" s="2" t="s">
        <v>272</v>
      </c>
      <c r="E19" s="2">
        <v>1781.93</v>
      </c>
      <c r="F19" s="4">
        <v>45244</v>
      </c>
    </row>
    <row r="20" spans="1:6" x14ac:dyDescent="0.3">
      <c r="A20" s="2" t="s">
        <v>292</v>
      </c>
      <c r="B20" s="2" t="s">
        <v>51</v>
      </c>
      <c r="C20" s="2" t="s">
        <v>293</v>
      </c>
      <c r="D20" s="2" t="s">
        <v>269</v>
      </c>
      <c r="E20" s="2">
        <v>1882.8</v>
      </c>
      <c r="F20" s="4">
        <v>44963</v>
      </c>
    </row>
    <row r="21" spans="1:6" x14ac:dyDescent="0.3">
      <c r="A21" s="2" t="s">
        <v>294</v>
      </c>
      <c r="B21" s="2" t="s">
        <v>53</v>
      </c>
      <c r="C21" s="2" t="s">
        <v>268</v>
      </c>
      <c r="D21" s="2" t="s">
        <v>272</v>
      </c>
      <c r="E21" s="2">
        <v>4113.62</v>
      </c>
      <c r="F21" s="4">
        <v>45265</v>
      </c>
    </row>
    <row r="22" spans="1:6" x14ac:dyDescent="0.3">
      <c r="A22" s="2" t="s">
        <v>295</v>
      </c>
      <c r="B22" s="2" t="s">
        <v>55</v>
      </c>
      <c r="C22" s="2" t="s">
        <v>293</v>
      </c>
      <c r="D22" s="2" t="s">
        <v>272</v>
      </c>
      <c r="E22" s="2">
        <v>2926.23</v>
      </c>
      <c r="F22" s="4">
        <v>45040</v>
      </c>
    </row>
    <row r="23" spans="1:6" x14ac:dyDescent="0.3">
      <c r="A23" s="2" t="s">
        <v>296</v>
      </c>
      <c r="B23" s="2" t="s">
        <v>57</v>
      </c>
      <c r="C23" s="2" t="s">
        <v>281</v>
      </c>
      <c r="D23" s="2" t="s">
        <v>272</v>
      </c>
      <c r="E23" s="2">
        <v>1900.88</v>
      </c>
      <c r="F23" s="4">
        <v>45244</v>
      </c>
    </row>
    <row r="24" spans="1:6" x14ac:dyDescent="0.3">
      <c r="A24" s="2" t="s">
        <v>297</v>
      </c>
      <c r="B24" s="2" t="s">
        <v>58</v>
      </c>
      <c r="C24" s="2" t="s">
        <v>271</v>
      </c>
      <c r="D24" s="2" t="s">
        <v>274</v>
      </c>
      <c r="E24" s="2">
        <v>3246.5</v>
      </c>
      <c r="F24" s="4">
        <v>45055</v>
      </c>
    </row>
    <row r="25" spans="1:6" x14ac:dyDescent="0.3">
      <c r="A25" s="2" t="s">
        <v>298</v>
      </c>
      <c r="B25" s="2" t="s">
        <v>60</v>
      </c>
      <c r="C25" s="2" t="s">
        <v>277</v>
      </c>
      <c r="D25" s="2" t="s">
        <v>272</v>
      </c>
      <c r="E25" s="2">
        <v>3722.68</v>
      </c>
      <c r="F25" s="4">
        <v>45098</v>
      </c>
    </row>
    <row r="26" spans="1:6" x14ac:dyDescent="0.3">
      <c r="A26" s="2" t="s">
        <v>299</v>
      </c>
      <c r="B26" s="2" t="s">
        <v>62</v>
      </c>
      <c r="C26" s="2" t="s">
        <v>277</v>
      </c>
      <c r="D26" s="2" t="s">
        <v>272</v>
      </c>
      <c r="E26" s="2">
        <v>1726.81</v>
      </c>
      <c r="F26" s="4">
        <v>44982</v>
      </c>
    </row>
    <row r="27" spans="1:6" x14ac:dyDescent="0.3">
      <c r="A27" s="2" t="s">
        <v>300</v>
      </c>
      <c r="B27" s="2" t="s">
        <v>64</v>
      </c>
      <c r="C27" s="2" t="s">
        <v>268</v>
      </c>
      <c r="D27" s="2" t="s">
        <v>274</v>
      </c>
      <c r="E27" s="2">
        <v>2360.9699999999998</v>
      </c>
      <c r="F27" s="4">
        <v>45002</v>
      </c>
    </row>
    <row r="28" spans="1:6" x14ac:dyDescent="0.3">
      <c r="A28" s="2" t="s">
        <v>301</v>
      </c>
      <c r="B28" s="2" t="s">
        <v>66</v>
      </c>
      <c r="C28" s="2" t="s">
        <v>293</v>
      </c>
      <c r="D28" s="2" t="s">
        <v>274</v>
      </c>
      <c r="E28" s="2">
        <v>1048.49</v>
      </c>
      <c r="F28" s="4">
        <v>45244</v>
      </c>
    </row>
    <row r="29" spans="1:6" x14ac:dyDescent="0.3">
      <c r="A29" s="2" t="s">
        <v>302</v>
      </c>
      <c r="B29" s="2" t="s">
        <v>68</v>
      </c>
      <c r="C29" s="2" t="s">
        <v>268</v>
      </c>
      <c r="D29" s="2" t="s">
        <v>274</v>
      </c>
      <c r="E29" s="2">
        <v>1315.17</v>
      </c>
      <c r="F29" s="4">
        <v>45228</v>
      </c>
    </row>
    <row r="30" spans="1:6" x14ac:dyDescent="0.3">
      <c r="A30" s="2" t="s">
        <v>303</v>
      </c>
      <c r="B30" s="2" t="s">
        <v>69</v>
      </c>
      <c r="C30" s="2" t="s">
        <v>271</v>
      </c>
      <c r="D30" s="2" t="s">
        <v>269</v>
      </c>
      <c r="E30" s="2">
        <v>3565.03</v>
      </c>
      <c r="F30" s="4">
        <v>45102</v>
      </c>
    </row>
    <row r="31" spans="1:6" x14ac:dyDescent="0.3">
      <c r="A31" s="2" t="s">
        <v>304</v>
      </c>
      <c r="B31" s="2" t="s">
        <v>70</v>
      </c>
      <c r="C31" s="2" t="s">
        <v>268</v>
      </c>
      <c r="D31" s="2" t="s">
        <v>274</v>
      </c>
      <c r="E31" s="2">
        <v>1316.47</v>
      </c>
      <c r="F31" s="4">
        <v>45167</v>
      </c>
    </row>
    <row r="32" spans="1:6" x14ac:dyDescent="0.3">
      <c r="A32" s="2" t="s">
        <v>305</v>
      </c>
      <c r="B32" s="2" t="s">
        <v>71</v>
      </c>
      <c r="C32" s="2" t="s">
        <v>277</v>
      </c>
      <c r="D32" s="2" t="s">
        <v>274</v>
      </c>
      <c r="E32" s="2">
        <v>2863.24</v>
      </c>
      <c r="F32" s="4">
        <v>45020</v>
      </c>
    </row>
    <row r="33" spans="1:6" x14ac:dyDescent="0.3">
      <c r="A33" s="2" t="s">
        <v>306</v>
      </c>
      <c r="B33" s="2" t="s">
        <v>72</v>
      </c>
      <c r="C33" s="2" t="s">
        <v>277</v>
      </c>
      <c r="D33" s="2" t="s">
        <v>272</v>
      </c>
      <c r="E33" s="2">
        <v>3690.71</v>
      </c>
      <c r="F33" s="4">
        <v>45236</v>
      </c>
    </row>
    <row r="34" spans="1:6" x14ac:dyDescent="0.3">
      <c r="A34" s="2" t="s">
        <v>307</v>
      </c>
      <c r="B34" s="2" t="s">
        <v>73</v>
      </c>
      <c r="C34" s="2" t="s">
        <v>281</v>
      </c>
      <c r="D34" s="2" t="s">
        <v>274</v>
      </c>
      <c r="E34" s="2">
        <v>980.95</v>
      </c>
      <c r="F34" s="4">
        <v>45192</v>
      </c>
    </row>
    <row r="35" spans="1:6" x14ac:dyDescent="0.3">
      <c r="A35" s="2" t="s">
        <v>308</v>
      </c>
      <c r="B35" s="2" t="s">
        <v>75</v>
      </c>
      <c r="C35" s="2" t="s">
        <v>281</v>
      </c>
      <c r="D35" s="2" t="s">
        <v>269</v>
      </c>
      <c r="E35" s="2">
        <v>3052.9</v>
      </c>
      <c r="F35" s="4">
        <v>45090</v>
      </c>
    </row>
    <row r="36" spans="1:6" x14ac:dyDescent="0.3">
      <c r="A36" s="2" t="s">
        <v>309</v>
      </c>
      <c r="B36" s="2" t="s">
        <v>76</v>
      </c>
      <c r="C36" s="2" t="s">
        <v>271</v>
      </c>
      <c r="D36" s="2" t="s">
        <v>274</v>
      </c>
      <c r="E36" s="2">
        <v>1654.53</v>
      </c>
      <c r="F36" s="4">
        <v>45034</v>
      </c>
    </row>
    <row r="37" spans="1:6" x14ac:dyDescent="0.3">
      <c r="A37" s="2" t="s">
        <v>310</v>
      </c>
      <c r="B37" s="2" t="s">
        <v>78</v>
      </c>
      <c r="C37" s="2" t="s">
        <v>293</v>
      </c>
      <c r="D37" s="2" t="s">
        <v>269</v>
      </c>
      <c r="E37" s="2">
        <v>4833.17</v>
      </c>
      <c r="F37" s="4">
        <v>44934</v>
      </c>
    </row>
    <row r="38" spans="1:6" x14ac:dyDescent="0.3">
      <c r="A38" s="2" t="s">
        <v>311</v>
      </c>
      <c r="B38" s="2" t="s">
        <v>80</v>
      </c>
      <c r="C38" s="2" t="s">
        <v>268</v>
      </c>
      <c r="D38" s="2" t="s">
        <v>274</v>
      </c>
      <c r="E38" s="2">
        <v>2675.96</v>
      </c>
      <c r="F38" s="4">
        <v>45013</v>
      </c>
    </row>
    <row r="39" spans="1:6" x14ac:dyDescent="0.3">
      <c r="A39" s="2" t="s">
        <v>312</v>
      </c>
      <c r="B39" s="2" t="s">
        <v>81</v>
      </c>
      <c r="C39" s="2" t="s">
        <v>271</v>
      </c>
      <c r="D39" s="2" t="s">
        <v>274</v>
      </c>
      <c r="E39" s="2">
        <v>4126.97</v>
      </c>
      <c r="F39" s="4">
        <v>44980</v>
      </c>
    </row>
    <row r="40" spans="1:6" x14ac:dyDescent="0.3">
      <c r="A40" s="2" t="s">
        <v>313</v>
      </c>
      <c r="B40" s="2" t="s">
        <v>82</v>
      </c>
      <c r="C40" s="2" t="s">
        <v>281</v>
      </c>
      <c r="D40" s="2" t="s">
        <v>274</v>
      </c>
      <c r="E40" s="2">
        <v>2976.02</v>
      </c>
      <c r="F40" s="4">
        <v>45033</v>
      </c>
    </row>
    <row r="41" spans="1:6" x14ac:dyDescent="0.3">
      <c r="A41" s="2" t="s">
        <v>314</v>
      </c>
      <c r="B41" s="2" t="s">
        <v>84</v>
      </c>
      <c r="C41" s="2" t="s">
        <v>268</v>
      </c>
      <c r="D41" s="2" t="s">
        <v>274</v>
      </c>
      <c r="E41" s="2">
        <v>695.36</v>
      </c>
      <c r="F41" s="4">
        <v>45012</v>
      </c>
    </row>
    <row r="42" spans="1:6" x14ac:dyDescent="0.3">
      <c r="A42" s="2" t="s">
        <v>315</v>
      </c>
      <c r="B42" s="2" t="s">
        <v>86</v>
      </c>
      <c r="C42" s="2" t="s">
        <v>281</v>
      </c>
      <c r="D42" s="2" t="s">
        <v>269</v>
      </c>
      <c r="E42" s="2">
        <v>3349.18</v>
      </c>
      <c r="F42" s="4">
        <v>44927</v>
      </c>
    </row>
    <row r="43" spans="1:6" x14ac:dyDescent="0.3">
      <c r="A43" s="2" t="s">
        <v>316</v>
      </c>
      <c r="B43" s="2" t="s">
        <v>87</v>
      </c>
      <c r="C43" s="2" t="s">
        <v>268</v>
      </c>
      <c r="D43" s="2" t="s">
        <v>269</v>
      </c>
      <c r="E43" s="2">
        <v>4781.32</v>
      </c>
      <c r="F43" s="4">
        <v>45006</v>
      </c>
    </row>
    <row r="44" spans="1:6" x14ac:dyDescent="0.3">
      <c r="A44" s="2" t="s">
        <v>317</v>
      </c>
      <c r="B44" s="2" t="s">
        <v>88</v>
      </c>
      <c r="C44" s="2" t="s">
        <v>293</v>
      </c>
      <c r="D44" s="2" t="s">
        <v>272</v>
      </c>
      <c r="E44" s="2">
        <v>3207.25</v>
      </c>
      <c r="F44" s="4">
        <v>45014</v>
      </c>
    </row>
    <row r="45" spans="1:6" x14ac:dyDescent="0.3">
      <c r="A45" s="2" t="s">
        <v>318</v>
      </c>
      <c r="B45" s="2" t="s">
        <v>89</v>
      </c>
      <c r="C45" s="2" t="s">
        <v>271</v>
      </c>
      <c r="D45" s="2" t="s">
        <v>269</v>
      </c>
      <c r="E45" s="2">
        <v>4186.3500000000004</v>
      </c>
      <c r="F45" s="4">
        <v>45189</v>
      </c>
    </row>
    <row r="46" spans="1:6" x14ac:dyDescent="0.3">
      <c r="A46" s="2" t="s">
        <v>319</v>
      </c>
      <c r="B46" s="2" t="s">
        <v>91</v>
      </c>
      <c r="C46" s="2" t="s">
        <v>268</v>
      </c>
      <c r="D46" s="2" t="s">
        <v>274</v>
      </c>
      <c r="E46" s="2">
        <v>4478.93</v>
      </c>
      <c r="F46" s="4">
        <v>45197</v>
      </c>
    </row>
    <row r="47" spans="1:6" x14ac:dyDescent="0.3">
      <c r="A47" s="2" t="s">
        <v>320</v>
      </c>
      <c r="B47" s="2" t="s">
        <v>92</v>
      </c>
      <c r="C47" s="2" t="s">
        <v>277</v>
      </c>
      <c r="D47" s="2" t="s">
        <v>272</v>
      </c>
      <c r="E47" s="2">
        <v>1526.36</v>
      </c>
      <c r="F47" s="4">
        <v>45280</v>
      </c>
    </row>
    <row r="48" spans="1:6" x14ac:dyDescent="0.3">
      <c r="A48" s="2" t="s">
        <v>321</v>
      </c>
      <c r="B48" s="2" t="s">
        <v>94</v>
      </c>
      <c r="C48" s="2" t="s">
        <v>277</v>
      </c>
      <c r="D48" s="2" t="s">
        <v>272</v>
      </c>
      <c r="E48" s="2">
        <v>1454.2</v>
      </c>
      <c r="F48" s="4">
        <v>45048</v>
      </c>
    </row>
    <row r="49" spans="1:6" x14ac:dyDescent="0.3">
      <c r="A49" s="2" t="s">
        <v>322</v>
      </c>
      <c r="B49" s="2" t="s">
        <v>95</v>
      </c>
      <c r="C49" s="2" t="s">
        <v>268</v>
      </c>
      <c r="D49" s="2" t="s">
        <v>272</v>
      </c>
      <c r="E49" s="2">
        <v>3249.41</v>
      </c>
      <c r="F49" s="4">
        <v>44942</v>
      </c>
    </row>
    <row r="50" spans="1:6" x14ac:dyDescent="0.3">
      <c r="A50" s="2" t="s">
        <v>323</v>
      </c>
      <c r="B50" s="2" t="s">
        <v>96</v>
      </c>
      <c r="C50" s="2" t="s">
        <v>268</v>
      </c>
      <c r="D50" s="2" t="s">
        <v>274</v>
      </c>
      <c r="E50" s="2">
        <v>2349.63</v>
      </c>
      <c r="F50" s="4">
        <v>45046</v>
      </c>
    </row>
    <row r="51" spans="1:6" x14ac:dyDescent="0.3">
      <c r="A51" s="2" t="s">
        <v>324</v>
      </c>
      <c r="B51" s="2" t="s">
        <v>97</v>
      </c>
      <c r="C51" s="2" t="s">
        <v>268</v>
      </c>
      <c r="D51" s="2" t="s">
        <v>269</v>
      </c>
      <c r="E51" s="2">
        <v>4279.38</v>
      </c>
      <c r="F51" s="4">
        <v>45154</v>
      </c>
    </row>
    <row r="52" spans="1:6" x14ac:dyDescent="0.3">
      <c r="A52" s="2" t="s">
        <v>325</v>
      </c>
      <c r="B52" s="2" t="s">
        <v>98</v>
      </c>
      <c r="C52" s="2" t="s">
        <v>277</v>
      </c>
      <c r="D52" s="2" t="s">
        <v>274</v>
      </c>
      <c r="E52" s="2">
        <v>4550.1000000000004</v>
      </c>
      <c r="F52" s="4">
        <v>44961</v>
      </c>
    </row>
    <row r="53" spans="1:6" x14ac:dyDescent="0.3">
      <c r="A53" s="2" t="s">
        <v>326</v>
      </c>
      <c r="B53" s="2" t="s">
        <v>100</v>
      </c>
      <c r="C53" s="2" t="s">
        <v>277</v>
      </c>
      <c r="D53" s="2" t="s">
        <v>272</v>
      </c>
      <c r="E53" s="2">
        <v>2090.4</v>
      </c>
      <c r="F53" s="4">
        <v>45119</v>
      </c>
    </row>
    <row r="54" spans="1:6" x14ac:dyDescent="0.3">
      <c r="A54" s="2" t="s">
        <v>327</v>
      </c>
      <c r="B54" s="2" t="s">
        <v>101</v>
      </c>
      <c r="C54" s="2" t="s">
        <v>268</v>
      </c>
      <c r="D54" s="2" t="s">
        <v>274</v>
      </c>
      <c r="E54" s="2">
        <v>1565.92</v>
      </c>
      <c r="F54" s="4">
        <v>44969</v>
      </c>
    </row>
    <row r="55" spans="1:6" x14ac:dyDescent="0.3">
      <c r="A55" s="2" t="s">
        <v>328</v>
      </c>
      <c r="B55" s="2" t="s">
        <v>103</v>
      </c>
      <c r="C55" s="2" t="s">
        <v>281</v>
      </c>
      <c r="D55" s="2" t="s">
        <v>274</v>
      </c>
      <c r="E55" s="2">
        <v>4012.36</v>
      </c>
      <c r="F55" s="4">
        <v>45276</v>
      </c>
    </row>
    <row r="56" spans="1:6" x14ac:dyDescent="0.3">
      <c r="A56" s="2" t="s">
        <v>329</v>
      </c>
      <c r="B56" s="2" t="s">
        <v>104</v>
      </c>
      <c r="C56" s="2" t="s">
        <v>281</v>
      </c>
      <c r="D56" s="2" t="s">
        <v>269</v>
      </c>
      <c r="E56" s="2">
        <v>1736.63</v>
      </c>
      <c r="F56" s="4">
        <v>45205</v>
      </c>
    </row>
    <row r="57" spans="1:6" x14ac:dyDescent="0.3">
      <c r="A57" s="2" t="s">
        <v>330</v>
      </c>
      <c r="B57" s="2" t="s">
        <v>106</v>
      </c>
      <c r="C57" s="2" t="s">
        <v>293</v>
      </c>
      <c r="D57" s="2" t="s">
        <v>269</v>
      </c>
      <c r="E57" s="2">
        <v>4201.76</v>
      </c>
      <c r="F57" s="4">
        <v>44928</v>
      </c>
    </row>
    <row r="58" spans="1:6" x14ac:dyDescent="0.3">
      <c r="A58" s="2" t="s">
        <v>331</v>
      </c>
      <c r="B58" s="2" t="s">
        <v>107</v>
      </c>
      <c r="C58" s="2" t="s">
        <v>271</v>
      </c>
      <c r="D58" s="2" t="s">
        <v>272</v>
      </c>
      <c r="E58" s="2">
        <v>2406.8200000000002</v>
      </c>
      <c r="F58" s="4">
        <v>45031</v>
      </c>
    </row>
    <row r="59" spans="1:6" x14ac:dyDescent="0.3">
      <c r="A59" s="2" t="s">
        <v>332</v>
      </c>
      <c r="B59" s="2" t="s">
        <v>108</v>
      </c>
      <c r="C59" s="2" t="s">
        <v>281</v>
      </c>
      <c r="D59" s="2" t="s">
        <v>274</v>
      </c>
      <c r="E59" s="2">
        <v>3503.97</v>
      </c>
      <c r="F59" s="4">
        <v>45055</v>
      </c>
    </row>
    <row r="60" spans="1:6" x14ac:dyDescent="0.3">
      <c r="A60" s="2" t="s">
        <v>333</v>
      </c>
      <c r="B60" s="2" t="s">
        <v>109</v>
      </c>
      <c r="C60" s="2" t="s">
        <v>277</v>
      </c>
      <c r="D60" s="2" t="s">
        <v>274</v>
      </c>
      <c r="E60" s="2">
        <v>929.91</v>
      </c>
      <c r="F60" s="4">
        <v>44994</v>
      </c>
    </row>
    <row r="61" spans="1:6" x14ac:dyDescent="0.3">
      <c r="A61" s="2" t="s">
        <v>334</v>
      </c>
      <c r="B61" s="2" t="s">
        <v>111</v>
      </c>
      <c r="C61" s="2" t="s">
        <v>281</v>
      </c>
      <c r="D61" s="2" t="s">
        <v>269</v>
      </c>
      <c r="E61" s="2">
        <v>3307.37</v>
      </c>
      <c r="F61" s="4">
        <v>45252</v>
      </c>
    </row>
    <row r="62" spans="1:6" x14ac:dyDescent="0.3">
      <c r="A62" s="2" t="s">
        <v>335</v>
      </c>
      <c r="B62" s="2" t="s">
        <v>113</v>
      </c>
      <c r="C62" s="2" t="s">
        <v>293</v>
      </c>
      <c r="D62" s="2" t="s">
        <v>274</v>
      </c>
      <c r="E62" s="2">
        <v>2532.9499999999998</v>
      </c>
      <c r="F62" s="4">
        <v>44941</v>
      </c>
    </row>
    <row r="63" spans="1:6" x14ac:dyDescent="0.3">
      <c r="A63" s="2" t="s">
        <v>336</v>
      </c>
      <c r="B63" s="2" t="s">
        <v>114</v>
      </c>
      <c r="C63" s="2" t="s">
        <v>293</v>
      </c>
      <c r="D63" s="2" t="s">
        <v>274</v>
      </c>
      <c r="E63" s="2">
        <v>3139.74</v>
      </c>
      <c r="F63" s="4">
        <v>45091</v>
      </c>
    </row>
    <row r="64" spans="1:6" x14ac:dyDescent="0.3">
      <c r="A64" s="2" t="s">
        <v>337</v>
      </c>
      <c r="B64" s="2" t="s">
        <v>115</v>
      </c>
      <c r="C64" s="2" t="s">
        <v>271</v>
      </c>
      <c r="D64" s="2" t="s">
        <v>274</v>
      </c>
      <c r="E64" s="2">
        <v>1256.06</v>
      </c>
      <c r="F64" s="4">
        <v>45106</v>
      </c>
    </row>
    <row r="65" spans="1:6" x14ac:dyDescent="0.3">
      <c r="A65" s="2" t="s">
        <v>338</v>
      </c>
      <c r="B65" s="2" t="s">
        <v>117</v>
      </c>
      <c r="C65" s="2" t="s">
        <v>281</v>
      </c>
      <c r="D65" s="2" t="s">
        <v>269</v>
      </c>
      <c r="E65" s="2">
        <v>3815.93</v>
      </c>
      <c r="F65" s="4">
        <v>45077</v>
      </c>
    </row>
    <row r="66" spans="1:6" x14ac:dyDescent="0.3">
      <c r="A66" s="2" t="s">
        <v>339</v>
      </c>
      <c r="B66" s="2" t="s">
        <v>119</v>
      </c>
      <c r="C66" s="2" t="s">
        <v>277</v>
      </c>
      <c r="D66" s="2" t="s">
        <v>272</v>
      </c>
      <c r="E66" s="2">
        <v>4382.59</v>
      </c>
      <c r="F66" s="4">
        <v>45040</v>
      </c>
    </row>
    <row r="67" spans="1:6" x14ac:dyDescent="0.3">
      <c r="A67" s="2" t="s">
        <v>340</v>
      </c>
      <c r="B67" s="2" t="s">
        <v>120</v>
      </c>
      <c r="C67" s="2" t="s">
        <v>277</v>
      </c>
      <c r="D67" s="2" t="s">
        <v>272</v>
      </c>
      <c r="E67" s="2">
        <v>1475.33</v>
      </c>
      <c r="F67" s="4">
        <v>45056</v>
      </c>
    </row>
    <row r="68" spans="1:6" x14ac:dyDescent="0.3">
      <c r="A68" s="2" t="s">
        <v>341</v>
      </c>
      <c r="B68" s="2" t="s">
        <v>121</v>
      </c>
      <c r="C68" s="2" t="s">
        <v>268</v>
      </c>
      <c r="D68" s="2" t="s">
        <v>274</v>
      </c>
      <c r="E68" s="2">
        <v>930.72</v>
      </c>
      <c r="F68" s="4">
        <v>45148</v>
      </c>
    </row>
    <row r="69" spans="1:6" x14ac:dyDescent="0.3">
      <c r="A69" s="2" t="s">
        <v>342</v>
      </c>
      <c r="B69" s="2" t="s">
        <v>123</v>
      </c>
      <c r="C69" s="2" t="s">
        <v>277</v>
      </c>
      <c r="D69" s="2" t="s">
        <v>272</v>
      </c>
      <c r="E69" s="2">
        <v>606.37</v>
      </c>
      <c r="F69" s="4">
        <v>44999</v>
      </c>
    </row>
    <row r="70" spans="1:6" x14ac:dyDescent="0.3">
      <c r="A70" s="2" t="s">
        <v>343</v>
      </c>
      <c r="B70" s="2" t="s">
        <v>124</v>
      </c>
      <c r="C70" s="2" t="s">
        <v>271</v>
      </c>
      <c r="D70" s="2" t="s">
        <v>269</v>
      </c>
      <c r="E70" s="2">
        <v>3388.87</v>
      </c>
      <c r="F70" s="4">
        <v>45014</v>
      </c>
    </row>
    <row r="71" spans="1:6" x14ac:dyDescent="0.3">
      <c r="A71" s="2" t="s">
        <v>344</v>
      </c>
      <c r="B71" s="2" t="s">
        <v>125</v>
      </c>
      <c r="C71" s="2" t="s">
        <v>271</v>
      </c>
      <c r="D71" s="2" t="s">
        <v>269</v>
      </c>
      <c r="E71" s="2">
        <v>3231.92</v>
      </c>
      <c r="F71" s="4">
        <v>45164</v>
      </c>
    </row>
    <row r="72" spans="1:6" x14ac:dyDescent="0.3">
      <c r="A72" s="2" t="s">
        <v>345</v>
      </c>
      <c r="B72" s="2" t="s">
        <v>126</v>
      </c>
      <c r="C72" s="2" t="s">
        <v>277</v>
      </c>
      <c r="D72" s="2" t="s">
        <v>272</v>
      </c>
      <c r="E72" s="2">
        <v>2960.14</v>
      </c>
      <c r="F72" s="4">
        <v>44952</v>
      </c>
    </row>
    <row r="73" spans="1:6" x14ac:dyDescent="0.3">
      <c r="A73" s="2" t="s">
        <v>346</v>
      </c>
      <c r="B73" s="2" t="s">
        <v>127</v>
      </c>
      <c r="C73" s="2" t="s">
        <v>277</v>
      </c>
      <c r="D73" s="2" t="s">
        <v>272</v>
      </c>
      <c r="E73" s="2">
        <v>1543.76</v>
      </c>
      <c r="F73" s="4">
        <v>45089</v>
      </c>
    </row>
    <row r="74" spans="1:6" x14ac:dyDescent="0.3">
      <c r="A74" s="2" t="s">
        <v>347</v>
      </c>
      <c r="B74" s="2" t="s">
        <v>128</v>
      </c>
      <c r="C74" s="2" t="s">
        <v>268</v>
      </c>
      <c r="D74" s="2" t="s">
        <v>274</v>
      </c>
      <c r="E74" s="2">
        <v>2259.08</v>
      </c>
      <c r="F74" s="4">
        <v>45284</v>
      </c>
    </row>
    <row r="75" spans="1:6" x14ac:dyDescent="0.3">
      <c r="A75" s="2" t="s">
        <v>348</v>
      </c>
      <c r="B75" s="2" t="s">
        <v>129</v>
      </c>
      <c r="C75" s="2" t="s">
        <v>277</v>
      </c>
      <c r="D75" s="2" t="s">
        <v>272</v>
      </c>
      <c r="E75" s="2">
        <v>3175.14</v>
      </c>
      <c r="F75" s="4">
        <v>45130</v>
      </c>
    </row>
    <row r="76" spans="1:6" x14ac:dyDescent="0.3">
      <c r="A76" s="2" t="s">
        <v>349</v>
      </c>
      <c r="B76" s="2" t="s">
        <v>130</v>
      </c>
      <c r="C76" s="2" t="s">
        <v>268</v>
      </c>
      <c r="D76" s="2" t="s">
        <v>274</v>
      </c>
      <c r="E76" s="2">
        <v>2735.45</v>
      </c>
      <c r="F76" s="4">
        <v>45054</v>
      </c>
    </row>
    <row r="77" spans="1:6" x14ac:dyDescent="0.3">
      <c r="A77" s="2" t="s">
        <v>350</v>
      </c>
      <c r="B77" s="2" t="s">
        <v>131</v>
      </c>
      <c r="C77" s="2" t="s">
        <v>268</v>
      </c>
      <c r="D77" s="2" t="s">
        <v>274</v>
      </c>
      <c r="E77" s="2">
        <v>4945.03</v>
      </c>
      <c r="F77" s="4">
        <v>45257</v>
      </c>
    </row>
    <row r="78" spans="1:6" x14ac:dyDescent="0.3">
      <c r="A78" s="2" t="s">
        <v>351</v>
      </c>
      <c r="B78" s="2" t="s">
        <v>133</v>
      </c>
      <c r="C78" s="2" t="s">
        <v>277</v>
      </c>
      <c r="D78" s="2" t="s">
        <v>269</v>
      </c>
      <c r="E78" s="2">
        <v>1113.98</v>
      </c>
      <c r="F78" s="4">
        <v>45274</v>
      </c>
    </row>
    <row r="79" spans="1:6" x14ac:dyDescent="0.3">
      <c r="A79" s="2" t="s">
        <v>352</v>
      </c>
      <c r="B79" s="2" t="s">
        <v>134</v>
      </c>
      <c r="C79" s="2" t="s">
        <v>293</v>
      </c>
      <c r="D79" s="2" t="s">
        <v>269</v>
      </c>
      <c r="E79" s="2">
        <v>3628.15</v>
      </c>
      <c r="F79" s="4">
        <v>45186</v>
      </c>
    </row>
    <row r="80" spans="1:6" x14ac:dyDescent="0.3">
      <c r="A80" s="2" t="s">
        <v>353</v>
      </c>
      <c r="B80" s="2" t="s">
        <v>136</v>
      </c>
      <c r="C80" s="2" t="s">
        <v>293</v>
      </c>
      <c r="D80" s="2" t="s">
        <v>269</v>
      </c>
      <c r="E80" s="2">
        <v>2319.4299999999998</v>
      </c>
      <c r="F80" s="4">
        <v>45286</v>
      </c>
    </row>
    <row r="81" spans="1:6" x14ac:dyDescent="0.3">
      <c r="A81" s="2" t="s">
        <v>354</v>
      </c>
      <c r="B81" s="2" t="s">
        <v>137</v>
      </c>
      <c r="C81" s="2" t="s">
        <v>268</v>
      </c>
      <c r="D81" s="2" t="s">
        <v>269</v>
      </c>
      <c r="E81" s="2">
        <v>2426.9</v>
      </c>
      <c r="F81" s="4">
        <v>45103</v>
      </c>
    </row>
    <row r="82" spans="1:6" x14ac:dyDescent="0.3">
      <c r="A82" s="2" t="s">
        <v>355</v>
      </c>
      <c r="B82" s="2" t="s">
        <v>138</v>
      </c>
      <c r="C82" s="2" t="s">
        <v>277</v>
      </c>
      <c r="D82" s="2" t="s">
        <v>272</v>
      </c>
      <c r="E82" s="2">
        <v>3729.19</v>
      </c>
      <c r="F82" s="4">
        <v>44932</v>
      </c>
    </row>
    <row r="83" spans="1:6" x14ac:dyDescent="0.3">
      <c r="A83" s="2" t="s">
        <v>356</v>
      </c>
      <c r="B83" s="2" t="s">
        <v>139</v>
      </c>
      <c r="C83" s="2" t="s">
        <v>293</v>
      </c>
      <c r="D83" s="2" t="s">
        <v>269</v>
      </c>
      <c r="E83" s="2">
        <v>3615.96</v>
      </c>
      <c r="F83" s="4">
        <v>44946</v>
      </c>
    </row>
    <row r="84" spans="1:6" x14ac:dyDescent="0.3">
      <c r="A84" s="2" t="s">
        <v>357</v>
      </c>
      <c r="B84" s="2" t="s">
        <v>140</v>
      </c>
      <c r="C84" s="2" t="s">
        <v>277</v>
      </c>
      <c r="D84" s="2" t="s">
        <v>272</v>
      </c>
      <c r="E84" s="2">
        <v>4960.6499999999996</v>
      </c>
      <c r="F84" s="4">
        <v>45237</v>
      </c>
    </row>
    <row r="85" spans="1:6" x14ac:dyDescent="0.3">
      <c r="A85" s="2" t="s">
        <v>358</v>
      </c>
      <c r="B85" s="2" t="s">
        <v>141</v>
      </c>
      <c r="C85" s="2" t="s">
        <v>277</v>
      </c>
      <c r="D85" s="2" t="s">
        <v>269</v>
      </c>
      <c r="E85" s="2">
        <v>1077.77</v>
      </c>
      <c r="F85" s="4">
        <v>45077</v>
      </c>
    </row>
    <row r="86" spans="1:6" x14ac:dyDescent="0.3">
      <c r="A86" s="2" t="s">
        <v>359</v>
      </c>
      <c r="B86" s="2" t="s">
        <v>142</v>
      </c>
      <c r="C86" s="2" t="s">
        <v>277</v>
      </c>
      <c r="D86" s="2" t="s">
        <v>272</v>
      </c>
      <c r="E86" s="2">
        <v>968.49</v>
      </c>
      <c r="F86" s="4">
        <v>44975</v>
      </c>
    </row>
    <row r="87" spans="1:6" x14ac:dyDescent="0.3">
      <c r="A87" s="2" t="s">
        <v>360</v>
      </c>
      <c r="B87" s="2" t="s">
        <v>143</v>
      </c>
      <c r="C87" s="2" t="s">
        <v>281</v>
      </c>
      <c r="D87" s="2" t="s">
        <v>274</v>
      </c>
      <c r="E87" s="2">
        <v>3759.52</v>
      </c>
      <c r="F87" s="4">
        <v>45228</v>
      </c>
    </row>
    <row r="88" spans="1:6" x14ac:dyDescent="0.3">
      <c r="A88" s="2" t="s">
        <v>361</v>
      </c>
      <c r="B88" s="2" t="s">
        <v>145</v>
      </c>
      <c r="C88" s="2" t="s">
        <v>277</v>
      </c>
      <c r="D88" s="2" t="s">
        <v>272</v>
      </c>
      <c r="E88" s="2">
        <v>3102.74</v>
      </c>
      <c r="F88" s="4">
        <v>45218</v>
      </c>
    </row>
    <row r="89" spans="1:6" x14ac:dyDescent="0.3">
      <c r="A89" s="2" t="s">
        <v>362</v>
      </c>
      <c r="B89" s="2" t="s">
        <v>146</v>
      </c>
      <c r="C89" s="2" t="s">
        <v>281</v>
      </c>
      <c r="D89" s="2" t="s">
        <v>272</v>
      </c>
      <c r="E89" s="2">
        <v>1733.72</v>
      </c>
      <c r="F89" s="4">
        <v>45048</v>
      </c>
    </row>
    <row r="90" spans="1:6" x14ac:dyDescent="0.3">
      <c r="A90" s="2" t="s">
        <v>363</v>
      </c>
      <c r="B90" s="2" t="s">
        <v>148</v>
      </c>
      <c r="C90" s="2" t="s">
        <v>268</v>
      </c>
      <c r="D90" s="2" t="s">
        <v>269</v>
      </c>
      <c r="E90" s="2">
        <v>857.39</v>
      </c>
      <c r="F90" s="4">
        <v>44971</v>
      </c>
    </row>
    <row r="91" spans="1:6" x14ac:dyDescent="0.3">
      <c r="A91" s="2" t="s">
        <v>364</v>
      </c>
      <c r="B91" s="2" t="s">
        <v>149</v>
      </c>
      <c r="C91" s="2" t="s">
        <v>293</v>
      </c>
      <c r="D91" s="2" t="s">
        <v>272</v>
      </c>
      <c r="E91" s="2">
        <v>885.46</v>
      </c>
      <c r="F91" s="4">
        <v>45078</v>
      </c>
    </row>
    <row r="92" spans="1:6" x14ac:dyDescent="0.3">
      <c r="A92" s="2" t="s">
        <v>365</v>
      </c>
      <c r="B92" s="2" t="s">
        <v>150</v>
      </c>
      <c r="C92" s="2" t="s">
        <v>293</v>
      </c>
      <c r="D92" s="2" t="s">
        <v>274</v>
      </c>
      <c r="E92" s="2">
        <v>4523.8599999999997</v>
      </c>
      <c r="F92" s="4">
        <v>45088</v>
      </c>
    </row>
    <row r="93" spans="1:6" x14ac:dyDescent="0.3">
      <c r="A93" s="2" t="s">
        <v>366</v>
      </c>
      <c r="B93" s="2" t="s">
        <v>151</v>
      </c>
      <c r="C93" s="2" t="s">
        <v>293</v>
      </c>
      <c r="D93" s="2" t="s">
        <v>274</v>
      </c>
      <c r="E93" s="2">
        <v>1363.4</v>
      </c>
      <c r="F93" s="4">
        <v>44956</v>
      </c>
    </row>
    <row r="94" spans="1:6" x14ac:dyDescent="0.3">
      <c r="A94" s="2" t="s">
        <v>367</v>
      </c>
      <c r="B94" s="2" t="s">
        <v>152</v>
      </c>
      <c r="C94" s="2" t="s">
        <v>293</v>
      </c>
      <c r="D94" s="2" t="s">
        <v>269</v>
      </c>
      <c r="E94" s="2">
        <v>1955.17</v>
      </c>
      <c r="F94" s="4">
        <v>45025</v>
      </c>
    </row>
    <row r="95" spans="1:6" x14ac:dyDescent="0.3">
      <c r="A95" s="2" t="s">
        <v>368</v>
      </c>
      <c r="B95" s="2" t="s">
        <v>153</v>
      </c>
      <c r="C95" s="2" t="s">
        <v>293</v>
      </c>
      <c r="D95" s="2" t="s">
        <v>274</v>
      </c>
      <c r="E95" s="2">
        <v>1519.95</v>
      </c>
      <c r="F95" s="4">
        <v>45024</v>
      </c>
    </row>
    <row r="96" spans="1:6" x14ac:dyDescent="0.3">
      <c r="A96" s="2" t="s">
        <v>369</v>
      </c>
      <c r="B96" s="2" t="s">
        <v>155</v>
      </c>
      <c r="C96" s="2" t="s">
        <v>293</v>
      </c>
      <c r="D96" s="2" t="s">
        <v>272</v>
      </c>
      <c r="E96" s="2">
        <v>2097.48</v>
      </c>
      <c r="F96" s="4">
        <v>45055</v>
      </c>
    </row>
    <row r="97" spans="1:6" x14ac:dyDescent="0.3">
      <c r="A97" s="2" t="s">
        <v>370</v>
      </c>
      <c r="B97" s="2" t="s">
        <v>157</v>
      </c>
      <c r="C97" s="2" t="s">
        <v>293</v>
      </c>
      <c r="D97" s="2" t="s">
        <v>274</v>
      </c>
      <c r="E97" s="2">
        <v>812.41</v>
      </c>
      <c r="F97" s="4">
        <v>45114</v>
      </c>
    </row>
    <row r="98" spans="1:6" x14ac:dyDescent="0.3">
      <c r="A98" s="2" t="s">
        <v>371</v>
      </c>
      <c r="B98" s="2" t="s">
        <v>158</v>
      </c>
      <c r="C98" s="2" t="s">
        <v>268</v>
      </c>
      <c r="D98" s="2" t="s">
        <v>269</v>
      </c>
      <c r="E98" s="2">
        <v>2835.77</v>
      </c>
      <c r="F98" s="4">
        <v>45052</v>
      </c>
    </row>
    <row r="99" spans="1:6" x14ac:dyDescent="0.3">
      <c r="A99" s="2" t="s">
        <v>372</v>
      </c>
      <c r="B99" s="2" t="s">
        <v>159</v>
      </c>
      <c r="C99" s="2" t="s">
        <v>277</v>
      </c>
      <c r="D99" s="2" t="s">
        <v>272</v>
      </c>
      <c r="E99" s="2">
        <v>804.26</v>
      </c>
      <c r="F99" s="4">
        <v>45002</v>
      </c>
    </row>
    <row r="100" spans="1:6" x14ac:dyDescent="0.3">
      <c r="A100" s="2" t="s">
        <v>373</v>
      </c>
      <c r="B100" s="2" t="s">
        <v>160</v>
      </c>
      <c r="C100" s="2" t="s">
        <v>271</v>
      </c>
      <c r="D100" s="2" t="s">
        <v>269</v>
      </c>
      <c r="E100" s="2">
        <v>4101.6000000000004</v>
      </c>
      <c r="F100" s="4">
        <v>45111</v>
      </c>
    </row>
    <row r="101" spans="1:6" x14ac:dyDescent="0.3">
      <c r="A101" s="2" t="s">
        <v>374</v>
      </c>
      <c r="B101" s="2" t="s">
        <v>162</v>
      </c>
      <c r="C101" s="2" t="s">
        <v>281</v>
      </c>
      <c r="D101" s="2" t="s">
        <v>272</v>
      </c>
      <c r="E101" s="2">
        <v>1551.7</v>
      </c>
      <c r="F101" s="4">
        <v>44987</v>
      </c>
    </row>
    <row r="102" spans="1:6" x14ac:dyDescent="0.3">
      <c r="A102" s="2" t="s">
        <v>375</v>
      </c>
      <c r="B102" s="2" t="s">
        <v>163</v>
      </c>
      <c r="C102" s="2" t="s">
        <v>271</v>
      </c>
      <c r="D102" s="2" t="s">
        <v>274</v>
      </c>
      <c r="E102" s="2">
        <v>2930.05</v>
      </c>
      <c r="F102" s="4">
        <v>45190</v>
      </c>
    </row>
    <row r="103" spans="1:6" x14ac:dyDescent="0.3">
      <c r="A103" s="2" t="s">
        <v>376</v>
      </c>
      <c r="B103" s="2" t="s">
        <v>164</v>
      </c>
      <c r="C103" s="2" t="s">
        <v>271</v>
      </c>
      <c r="D103" s="2" t="s">
        <v>269</v>
      </c>
      <c r="E103" s="2">
        <v>4460.3599999999997</v>
      </c>
      <c r="F103" s="4">
        <v>45224</v>
      </c>
    </row>
    <row r="104" spans="1:6" x14ac:dyDescent="0.3">
      <c r="A104" s="2" t="s">
        <v>377</v>
      </c>
      <c r="B104" s="2" t="s">
        <v>165</v>
      </c>
      <c r="C104" s="2" t="s">
        <v>277</v>
      </c>
      <c r="D104" s="2" t="s">
        <v>269</v>
      </c>
      <c r="E104" s="2">
        <v>3428.95</v>
      </c>
      <c r="F104" s="4">
        <v>44950</v>
      </c>
    </row>
    <row r="105" spans="1:6" x14ac:dyDescent="0.3">
      <c r="A105" s="2" t="s">
        <v>378</v>
      </c>
      <c r="B105" s="2" t="s">
        <v>166</v>
      </c>
      <c r="C105" s="2" t="s">
        <v>277</v>
      </c>
      <c r="D105" s="2" t="s">
        <v>272</v>
      </c>
      <c r="E105" s="2">
        <v>2898.31</v>
      </c>
      <c r="F105" s="4">
        <v>45034</v>
      </c>
    </row>
    <row r="106" spans="1:6" x14ac:dyDescent="0.3">
      <c r="A106" s="2" t="s">
        <v>379</v>
      </c>
      <c r="B106" s="2" t="s">
        <v>167</v>
      </c>
      <c r="C106" s="2" t="s">
        <v>277</v>
      </c>
      <c r="D106" s="2" t="s">
        <v>269</v>
      </c>
      <c r="E106" s="2">
        <v>1959.5</v>
      </c>
      <c r="F106" s="4">
        <v>45152</v>
      </c>
    </row>
    <row r="107" spans="1:6" x14ac:dyDescent="0.3">
      <c r="A107" s="2" t="s">
        <v>380</v>
      </c>
      <c r="B107" s="2" t="s">
        <v>168</v>
      </c>
      <c r="C107" s="2" t="s">
        <v>293</v>
      </c>
      <c r="D107" s="2" t="s">
        <v>272</v>
      </c>
      <c r="E107" s="2">
        <v>1998.51</v>
      </c>
      <c r="F107" s="4">
        <v>45228</v>
      </c>
    </row>
    <row r="108" spans="1:6" x14ac:dyDescent="0.3">
      <c r="A108" s="2" t="s">
        <v>381</v>
      </c>
      <c r="B108" s="2" t="s">
        <v>169</v>
      </c>
      <c r="C108" s="2" t="s">
        <v>268</v>
      </c>
      <c r="D108" s="2" t="s">
        <v>272</v>
      </c>
      <c r="E108" s="2">
        <v>3512.69</v>
      </c>
      <c r="F108" s="4">
        <v>45033</v>
      </c>
    </row>
    <row r="109" spans="1:6" x14ac:dyDescent="0.3">
      <c r="A109" s="2" t="s">
        <v>382</v>
      </c>
      <c r="B109" s="2" t="s">
        <v>171</v>
      </c>
      <c r="C109" s="2" t="s">
        <v>293</v>
      </c>
      <c r="D109" s="2" t="s">
        <v>272</v>
      </c>
      <c r="E109" s="2">
        <v>4973.63</v>
      </c>
      <c r="F109" s="4">
        <v>45037</v>
      </c>
    </row>
    <row r="110" spans="1:6" x14ac:dyDescent="0.3">
      <c r="A110" s="2" t="s">
        <v>383</v>
      </c>
      <c r="B110" s="2" t="s">
        <v>172</v>
      </c>
      <c r="C110" s="2" t="s">
        <v>268</v>
      </c>
      <c r="D110" s="2" t="s">
        <v>272</v>
      </c>
      <c r="E110" s="2">
        <v>3478.28</v>
      </c>
      <c r="F110" s="4">
        <v>45136</v>
      </c>
    </row>
    <row r="111" spans="1:6" x14ac:dyDescent="0.3">
      <c r="A111" s="2" t="s">
        <v>384</v>
      </c>
      <c r="B111" s="2" t="s">
        <v>173</v>
      </c>
      <c r="C111" s="2" t="s">
        <v>268</v>
      </c>
      <c r="D111" s="2" t="s">
        <v>274</v>
      </c>
      <c r="E111" s="2">
        <v>3010.03</v>
      </c>
      <c r="F111" s="4">
        <v>45126</v>
      </c>
    </row>
    <row r="112" spans="1:6" x14ac:dyDescent="0.3">
      <c r="A112" s="2" t="s">
        <v>385</v>
      </c>
      <c r="B112" s="2" t="s">
        <v>174</v>
      </c>
      <c r="C112" s="2" t="s">
        <v>271</v>
      </c>
      <c r="D112" s="2" t="s">
        <v>272</v>
      </c>
      <c r="E112" s="2">
        <v>3787.93</v>
      </c>
      <c r="F112" s="4">
        <v>45068</v>
      </c>
    </row>
    <row r="113" spans="1:6" x14ac:dyDescent="0.3">
      <c r="A113" s="2" t="s">
        <v>386</v>
      </c>
      <c r="B113" s="2" t="s">
        <v>175</v>
      </c>
      <c r="C113" s="2" t="s">
        <v>271</v>
      </c>
      <c r="D113" s="2" t="s">
        <v>269</v>
      </c>
      <c r="E113" s="2">
        <v>2593.4299999999998</v>
      </c>
      <c r="F113" s="4">
        <v>44937</v>
      </c>
    </row>
    <row r="114" spans="1:6" x14ac:dyDescent="0.3">
      <c r="A114" s="2" t="s">
        <v>387</v>
      </c>
      <c r="B114" s="2" t="s">
        <v>176</v>
      </c>
      <c r="C114" s="2" t="s">
        <v>268</v>
      </c>
      <c r="D114" s="2" t="s">
        <v>274</v>
      </c>
      <c r="E114" s="2">
        <v>770.64</v>
      </c>
      <c r="F114" s="4">
        <v>45254</v>
      </c>
    </row>
    <row r="115" spans="1:6" x14ac:dyDescent="0.3">
      <c r="A115" s="2" t="s">
        <v>388</v>
      </c>
      <c r="B115" s="2" t="s">
        <v>177</v>
      </c>
      <c r="C115" s="2" t="s">
        <v>268</v>
      </c>
      <c r="D115" s="2" t="s">
        <v>269</v>
      </c>
      <c r="E115" s="2">
        <v>3030.34</v>
      </c>
      <c r="F115" s="4">
        <v>45146</v>
      </c>
    </row>
    <row r="116" spans="1:6" x14ac:dyDescent="0.3">
      <c r="A116" s="2" t="s">
        <v>389</v>
      </c>
      <c r="B116" s="2" t="s">
        <v>179</v>
      </c>
      <c r="C116" s="2" t="s">
        <v>293</v>
      </c>
      <c r="D116" s="2" t="s">
        <v>274</v>
      </c>
      <c r="E116" s="2">
        <v>4809.3100000000004</v>
      </c>
      <c r="F116" s="4">
        <v>45224</v>
      </c>
    </row>
    <row r="117" spans="1:6" x14ac:dyDescent="0.3">
      <c r="A117" s="2" t="s">
        <v>390</v>
      </c>
      <c r="B117" s="2" t="s">
        <v>180</v>
      </c>
      <c r="C117" s="2" t="s">
        <v>293</v>
      </c>
      <c r="D117" s="2" t="s">
        <v>272</v>
      </c>
      <c r="E117" s="2">
        <v>1288.8599999999999</v>
      </c>
      <c r="F117" s="4">
        <v>45114</v>
      </c>
    </row>
    <row r="118" spans="1:6" x14ac:dyDescent="0.3">
      <c r="A118" s="2" t="s">
        <v>391</v>
      </c>
      <c r="B118" s="2" t="s">
        <v>181</v>
      </c>
      <c r="C118" s="2" t="s">
        <v>271</v>
      </c>
      <c r="D118" s="2" t="s">
        <v>274</v>
      </c>
      <c r="E118" s="2">
        <v>3605.02</v>
      </c>
      <c r="F118" s="4">
        <v>45097</v>
      </c>
    </row>
    <row r="119" spans="1:6" x14ac:dyDescent="0.3">
      <c r="A119" s="2" t="s">
        <v>392</v>
      </c>
      <c r="B119" s="2" t="s">
        <v>182</v>
      </c>
      <c r="C119" s="2" t="s">
        <v>277</v>
      </c>
      <c r="D119" s="2" t="s">
        <v>274</v>
      </c>
      <c r="E119" s="2">
        <v>1404.2</v>
      </c>
      <c r="F119" s="4">
        <v>45147</v>
      </c>
    </row>
    <row r="120" spans="1:6" x14ac:dyDescent="0.3">
      <c r="A120" s="2" t="s">
        <v>393</v>
      </c>
      <c r="B120" s="2" t="s">
        <v>183</v>
      </c>
      <c r="C120" s="2" t="s">
        <v>268</v>
      </c>
      <c r="D120" s="2" t="s">
        <v>269</v>
      </c>
      <c r="E120" s="2">
        <v>2911.22</v>
      </c>
      <c r="F120" s="4">
        <v>45278</v>
      </c>
    </row>
    <row r="121" spans="1:6" x14ac:dyDescent="0.3">
      <c r="A121" s="2" t="s">
        <v>394</v>
      </c>
      <c r="B121" s="2" t="s">
        <v>184</v>
      </c>
      <c r="C121" s="2" t="s">
        <v>293</v>
      </c>
      <c r="D121" s="2" t="s">
        <v>269</v>
      </c>
      <c r="E121" s="2">
        <v>935.04</v>
      </c>
      <c r="F121" s="4">
        <v>45268</v>
      </c>
    </row>
    <row r="122" spans="1:6" x14ac:dyDescent="0.3">
      <c r="A122" s="2" t="s">
        <v>395</v>
      </c>
      <c r="B122" s="2" t="s">
        <v>185</v>
      </c>
      <c r="C122" s="2" t="s">
        <v>271</v>
      </c>
      <c r="D122" s="2" t="s">
        <v>272</v>
      </c>
      <c r="E122" s="2">
        <v>2526.67</v>
      </c>
      <c r="F122" s="4">
        <v>45023</v>
      </c>
    </row>
    <row r="123" spans="1:6" x14ac:dyDescent="0.3">
      <c r="A123" s="2" t="s">
        <v>396</v>
      </c>
      <c r="B123" s="2" t="s">
        <v>186</v>
      </c>
      <c r="C123" s="2" t="s">
        <v>293</v>
      </c>
      <c r="D123" s="2" t="s">
        <v>274</v>
      </c>
      <c r="E123" s="2">
        <v>3902.73</v>
      </c>
      <c r="F123" s="4">
        <v>45118</v>
      </c>
    </row>
    <row r="124" spans="1:6" x14ac:dyDescent="0.3">
      <c r="A124" s="2" t="s">
        <v>397</v>
      </c>
      <c r="B124" s="2" t="s">
        <v>187</v>
      </c>
      <c r="C124" s="2" t="s">
        <v>268</v>
      </c>
      <c r="D124" s="2" t="s">
        <v>274</v>
      </c>
      <c r="E124" s="2">
        <v>2064.0700000000002</v>
      </c>
      <c r="F124" s="4">
        <v>44985</v>
      </c>
    </row>
    <row r="125" spans="1:6" x14ac:dyDescent="0.3">
      <c r="A125" s="2" t="s">
        <v>398</v>
      </c>
      <c r="B125" s="2" t="s">
        <v>188</v>
      </c>
      <c r="C125" s="2" t="s">
        <v>268</v>
      </c>
      <c r="D125" s="2" t="s">
        <v>274</v>
      </c>
      <c r="E125" s="2">
        <v>3492.1</v>
      </c>
      <c r="F125" s="4">
        <v>45001</v>
      </c>
    </row>
    <row r="126" spans="1:6" x14ac:dyDescent="0.3">
      <c r="A126" s="2" t="s">
        <v>399</v>
      </c>
      <c r="B126" s="2" t="s">
        <v>189</v>
      </c>
      <c r="C126" s="2" t="s">
        <v>281</v>
      </c>
      <c r="D126" s="2" t="s">
        <v>272</v>
      </c>
      <c r="E126" s="2">
        <v>4079.52</v>
      </c>
      <c r="F126" s="4">
        <v>44975</v>
      </c>
    </row>
    <row r="127" spans="1:6" x14ac:dyDescent="0.3">
      <c r="A127" s="2" t="s">
        <v>400</v>
      </c>
      <c r="B127" s="2" t="s">
        <v>190</v>
      </c>
      <c r="C127" s="2" t="s">
        <v>277</v>
      </c>
      <c r="D127" s="2" t="s">
        <v>272</v>
      </c>
      <c r="E127" s="2">
        <v>4672.3</v>
      </c>
      <c r="F127" s="4">
        <v>45232</v>
      </c>
    </row>
    <row r="128" spans="1:6" x14ac:dyDescent="0.3">
      <c r="A128" s="2" t="s">
        <v>401</v>
      </c>
      <c r="B128" s="2" t="s">
        <v>191</v>
      </c>
      <c r="C128" s="2" t="s">
        <v>281</v>
      </c>
      <c r="D128" s="2" t="s">
        <v>272</v>
      </c>
      <c r="E128" s="2">
        <v>1555.89</v>
      </c>
      <c r="F128" s="4">
        <v>45243</v>
      </c>
    </row>
    <row r="129" spans="1:6" x14ac:dyDescent="0.3">
      <c r="A129" s="2" t="s">
        <v>402</v>
      </c>
      <c r="B129" s="2" t="s">
        <v>192</v>
      </c>
      <c r="C129" s="2" t="s">
        <v>271</v>
      </c>
      <c r="D129" s="2" t="s">
        <v>272</v>
      </c>
      <c r="E129" s="2">
        <v>2296.92</v>
      </c>
      <c r="F129" s="4">
        <v>45031</v>
      </c>
    </row>
    <row r="130" spans="1:6" x14ac:dyDescent="0.3">
      <c r="A130" s="2" t="s">
        <v>403</v>
      </c>
      <c r="B130" s="2" t="s">
        <v>193</v>
      </c>
      <c r="C130" s="2" t="s">
        <v>293</v>
      </c>
      <c r="D130" s="2" t="s">
        <v>272</v>
      </c>
      <c r="E130" s="2">
        <v>1185.8699999999999</v>
      </c>
      <c r="F130" s="4">
        <v>45163</v>
      </c>
    </row>
    <row r="131" spans="1:6" x14ac:dyDescent="0.3">
      <c r="A131" s="2" t="s">
        <v>404</v>
      </c>
      <c r="B131" s="2" t="s">
        <v>194</v>
      </c>
      <c r="C131" s="2" t="s">
        <v>271</v>
      </c>
      <c r="D131" s="2" t="s">
        <v>269</v>
      </c>
      <c r="E131" s="2">
        <v>4966.18</v>
      </c>
      <c r="F131" s="4">
        <v>44980</v>
      </c>
    </row>
    <row r="132" spans="1:6" x14ac:dyDescent="0.3">
      <c r="A132" s="2" t="s">
        <v>405</v>
      </c>
      <c r="B132" s="2" t="s">
        <v>195</v>
      </c>
      <c r="C132" s="2" t="s">
        <v>268</v>
      </c>
      <c r="D132" s="2" t="s">
        <v>274</v>
      </c>
      <c r="E132" s="2">
        <v>4671.5</v>
      </c>
      <c r="F132" s="4">
        <v>45057</v>
      </c>
    </row>
    <row r="133" spans="1:6" x14ac:dyDescent="0.3">
      <c r="A133" s="2" t="s">
        <v>406</v>
      </c>
      <c r="B133" s="2" t="s">
        <v>196</v>
      </c>
      <c r="C133" s="2" t="s">
        <v>281</v>
      </c>
      <c r="D133" s="2" t="s">
        <v>274</v>
      </c>
      <c r="E133" s="2">
        <v>2929.81</v>
      </c>
      <c r="F133" s="4">
        <v>45133</v>
      </c>
    </row>
    <row r="134" spans="1:6" x14ac:dyDescent="0.3">
      <c r="A134" s="2" t="s">
        <v>407</v>
      </c>
      <c r="B134" s="2" t="s">
        <v>197</v>
      </c>
      <c r="C134" s="2" t="s">
        <v>281</v>
      </c>
      <c r="D134" s="2" t="s">
        <v>274</v>
      </c>
      <c r="E134" s="2">
        <v>4289.1499999999996</v>
      </c>
      <c r="F134" s="4">
        <v>45008</v>
      </c>
    </row>
    <row r="135" spans="1:6" x14ac:dyDescent="0.3">
      <c r="A135" s="2" t="s">
        <v>408</v>
      </c>
      <c r="B135" s="2" t="s">
        <v>198</v>
      </c>
      <c r="C135" s="2" t="s">
        <v>281</v>
      </c>
      <c r="D135" s="2" t="s">
        <v>274</v>
      </c>
      <c r="E135" s="2">
        <v>2844.31</v>
      </c>
      <c r="F135" s="4">
        <v>45216</v>
      </c>
    </row>
    <row r="136" spans="1:6" x14ac:dyDescent="0.3">
      <c r="A136" s="2" t="s">
        <v>409</v>
      </c>
      <c r="B136" s="2" t="s">
        <v>199</v>
      </c>
      <c r="C136" s="2" t="s">
        <v>271</v>
      </c>
      <c r="D136" s="2" t="s">
        <v>274</v>
      </c>
      <c r="E136" s="2">
        <v>3306.14</v>
      </c>
      <c r="F136" s="4">
        <v>45178</v>
      </c>
    </row>
    <row r="137" spans="1:6" x14ac:dyDescent="0.3">
      <c r="A137" s="2" t="s">
        <v>410</v>
      </c>
      <c r="B137" s="2" t="s">
        <v>200</v>
      </c>
      <c r="C137" s="2" t="s">
        <v>268</v>
      </c>
      <c r="D137" s="2" t="s">
        <v>274</v>
      </c>
      <c r="E137" s="2">
        <v>901.06</v>
      </c>
      <c r="F137" s="4">
        <v>45059</v>
      </c>
    </row>
    <row r="138" spans="1:6" x14ac:dyDescent="0.3">
      <c r="A138" s="2" t="s">
        <v>411</v>
      </c>
      <c r="B138" s="2" t="s">
        <v>201</v>
      </c>
      <c r="C138" s="2" t="s">
        <v>293</v>
      </c>
      <c r="D138" s="2" t="s">
        <v>274</v>
      </c>
      <c r="E138" s="2">
        <v>3898.72</v>
      </c>
      <c r="F138" s="4">
        <v>45224</v>
      </c>
    </row>
    <row r="139" spans="1:6" x14ac:dyDescent="0.3">
      <c r="A139" s="2" t="s">
        <v>412</v>
      </c>
      <c r="B139" s="2" t="s">
        <v>202</v>
      </c>
      <c r="C139" s="2" t="s">
        <v>293</v>
      </c>
      <c r="D139" s="2" t="s">
        <v>274</v>
      </c>
      <c r="E139" s="2">
        <v>1074.71</v>
      </c>
      <c r="F139" s="4">
        <v>45286</v>
      </c>
    </row>
    <row r="140" spans="1:6" x14ac:dyDescent="0.3">
      <c r="A140" s="2" t="s">
        <v>413</v>
      </c>
      <c r="B140" s="2" t="s">
        <v>203</v>
      </c>
      <c r="C140" s="2" t="s">
        <v>271</v>
      </c>
      <c r="D140" s="2" t="s">
        <v>269</v>
      </c>
      <c r="E140" s="2">
        <v>4217.3</v>
      </c>
      <c r="F140" s="4">
        <v>45209</v>
      </c>
    </row>
    <row r="141" spans="1:6" x14ac:dyDescent="0.3">
      <c r="A141" s="2" t="s">
        <v>414</v>
      </c>
      <c r="B141" s="2" t="s">
        <v>204</v>
      </c>
      <c r="C141" s="2" t="s">
        <v>281</v>
      </c>
      <c r="D141" s="2" t="s">
        <v>274</v>
      </c>
      <c r="E141" s="2">
        <v>4019.13</v>
      </c>
      <c r="F141" s="4">
        <v>44962</v>
      </c>
    </row>
    <row r="142" spans="1:6" x14ac:dyDescent="0.3">
      <c r="A142" s="2" t="s">
        <v>415</v>
      </c>
      <c r="B142" s="2" t="s">
        <v>205</v>
      </c>
      <c r="C142" s="2" t="s">
        <v>277</v>
      </c>
      <c r="D142" s="2" t="s">
        <v>269</v>
      </c>
      <c r="E142" s="2">
        <v>3689.35</v>
      </c>
      <c r="F142" s="4">
        <v>45092</v>
      </c>
    </row>
    <row r="143" spans="1:6" x14ac:dyDescent="0.3">
      <c r="A143" s="2" t="s">
        <v>416</v>
      </c>
      <c r="B143" s="2" t="s">
        <v>206</v>
      </c>
      <c r="C143" s="2" t="s">
        <v>271</v>
      </c>
      <c r="D143" s="2" t="s">
        <v>272</v>
      </c>
      <c r="E143" s="2">
        <v>662.72</v>
      </c>
      <c r="F143" s="4">
        <v>45231</v>
      </c>
    </row>
    <row r="144" spans="1:6" x14ac:dyDescent="0.3">
      <c r="A144" s="2" t="s">
        <v>417</v>
      </c>
      <c r="B144" s="2" t="s">
        <v>207</v>
      </c>
      <c r="C144" s="2" t="s">
        <v>271</v>
      </c>
      <c r="D144" s="2" t="s">
        <v>274</v>
      </c>
      <c r="E144" s="2">
        <v>1864.08</v>
      </c>
      <c r="F144" s="4">
        <v>45190</v>
      </c>
    </row>
    <row r="145" spans="1:6" x14ac:dyDescent="0.3">
      <c r="A145" s="2" t="s">
        <v>418</v>
      </c>
      <c r="B145" s="2" t="s">
        <v>208</v>
      </c>
      <c r="C145" s="2" t="s">
        <v>268</v>
      </c>
      <c r="D145" s="2" t="s">
        <v>272</v>
      </c>
      <c r="E145" s="2">
        <v>1684.01</v>
      </c>
      <c r="F145" s="4">
        <v>45154</v>
      </c>
    </row>
    <row r="146" spans="1:6" x14ac:dyDescent="0.3">
      <c r="A146" s="2" t="s">
        <v>419</v>
      </c>
      <c r="B146" s="2" t="s">
        <v>209</v>
      </c>
      <c r="C146" s="2" t="s">
        <v>293</v>
      </c>
      <c r="D146" s="2" t="s">
        <v>272</v>
      </c>
      <c r="E146" s="2">
        <v>2120.61</v>
      </c>
      <c r="F146" s="4">
        <v>45241</v>
      </c>
    </row>
    <row r="147" spans="1:6" x14ac:dyDescent="0.3">
      <c r="A147" s="2" t="s">
        <v>420</v>
      </c>
      <c r="B147" s="2" t="s">
        <v>210</v>
      </c>
      <c r="C147" s="2" t="s">
        <v>271</v>
      </c>
      <c r="D147" s="2" t="s">
        <v>272</v>
      </c>
      <c r="E147" s="2">
        <v>894.39</v>
      </c>
      <c r="F147" s="4">
        <v>44931</v>
      </c>
    </row>
    <row r="148" spans="1:6" x14ac:dyDescent="0.3">
      <c r="A148" s="2" t="s">
        <v>421</v>
      </c>
      <c r="B148" s="2" t="s">
        <v>211</v>
      </c>
      <c r="C148" s="2" t="s">
        <v>271</v>
      </c>
      <c r="D148" s="2" t="s">
        <v>269</v>
      </c>
      <c r="E148" s="2">
        <v>4716.3100000000004</v>
      </c>
      <c r="F148" s="4">
        <v>45243</v>
      </c>
    </row>
    <row r="149" spans="1:6" x14ac:dyDescent="0.3">
      <c r="A149" s="2" t="s">
        <v>422</v>
      </c>
      <c r="B149" s="2" t="s">
        <v>212</v>
      </c>
      <c r="C149" s="2" t="s">
        <v>281</v>
      </c>
      <c r="D149" s="2" t="s">
        <v>272</v>
      </c>
      <c r="E149" s="2">
        <v>2992.11</v>
      </c>
      <c r="F149" s="4">
        <v>45266</v>
      </c>
    </row>
    <row r="150" spans="1:6" x14ac:dyDescent="0.3">
      <c r="A150" s="2" t="s">
        <v>423</v>
      </c>
      <c r="B150" s="2" t="s">
        <v>213</v>
      </c>
      <c r="C150" s="2" t="s">
        <v>281</v>
      </c>
      <c r="D150" s="2" t="s">
        <v>272</v>
      </c>
      <c r="E150" s="2">
        <v>1874.86</v>
      </c>
      <c r="F150" s="4">
        <v>45133</v>
      </c>
    </row>
    <row r="151" spans="1:6" x14ac:dyDescent="0.3">
      <c r="A151" s="2" t="s">
        <v>424</v>
      </c>
      <c r="B151" s="2" t="s">
        <v>214</v>
      </c>
      <c r="C151" s="2" t="s">
        <v>277</v>
      </c>
      <c r="D151" s="2" t="s">
        <v>272</v>
      </c>
      <c r="E151" s="2">
        <v>2286.42</v>
      </c>
      <c r="F151" s="4">
        <v>45154</v>
      </c>
    </row>
    <row r="152" spans="1:6" x14ac:dyDescent="0.3">
      <c r="A152" s="2" t="s">
        <v>425</v>
      </c>
      <c r="B152" s="2" t="s">
        <v>215</v>
      </c>
      <c r="C152" s="2" t="s">
        <v>268</v>
      </c>
      <c r="D152" s="2" t="s">
        <v>274</v>
      </c>
      <c r="E152" s="2">
        <v>2512.41</v>
      </c>
      <c r="F152" s="4">
        <v>44954</v>
      </c>
    </row>
    <row r="153" spans="1:6" x14ac:dyDescent="0.3">
      <c r="A153" s="2" t="s">
        <v>426</v>
      </c>
      <c r="B153" s="2" t="s">
        <v>216</v>
      </c>
      <c r="C153" s="2" t="s">
        <v>277</v>
      </c>
      <c r="D153" s="2" t="s">
        <v>274</v>
      </c>
      <c r="E153" s="2">
        <v>3202.67</v>
      </c>
      <c r="F153" s="4">
        <v>45030</v>
      </c>
    </row>
    <row r="154" spans="1:6" x14ac:dyDescent="0.3">
      <c r="A154" s="2" t="s">
        <v>427</v>
      </c>
      <c r="B154" s="2" t="s">
        <v>217</v>
      </c>
      <c r="C154" s="2" t="s">
        <v>281</v>
      </c>
      <c r="D154" s="2" t="s">
        <v>269</v>
      </c>
      <c r="E154" s="2">
        <v>2820.56</v>
      </c>
      <c r="F154" s="4">
        <v>45115</v>
      </c>
    </row>
    <row r="155" spans="1:6" x14ac:dyDescent="0.3">
      <c r="A155" s="2" t="s">
        <v>428</v>
      </c>
      <c r="B155" s="2" t="s">
        <v>218</v>
      </c>
      <c r="C155" s="2" t="s">
        <v>293</v>
      </c>
      <c r="D155" s="2" t="s">
        <v>269</v>
      </c>
      <c r="E155" s="2">
        <v>4637.26</v>
      </c>
      <c r="F155" s="4">
        <v>44991</v>
      </c>
    </row>
    <row r="156" spans="1:6" x14ac:dyDescent="0.3">
      <c r="A156" s="2" t="s">
        <v>429</v>
      </c>
      <c r="B156" s="2" t="s">
        <v>219</v>
      </c>
      <c r="C156" s="2" t="s">
        <v>281</v>
      </c>
      <c r="D156" s="2" t="s">
        <v>274</v>
      </c>
      <c r="E156" s="2">
        <v>2736.34</v>
      </c>
      <c r="F156" s="4">
        <v>44929</v>
      </c>
    </row>
    <row r="157" spans="1:6" x14ac:dyDescent="0.3">
      <c r="A157" s="2" t="s">
        <v>430</v>
      </c>
      <c r="B157" s="2" t="s">
        <v>220</v>
      </c>
      <c r="C157" s="2" t="s">
        <v>268</v>
      </c>
      <c r="D157" s="2" t="s">
        <v>269</v>
      </c>
      <c r="E157" s="2">
        <v>4964.71</v>
      </c>
      <c r="F157" s="4">
        <v>45252</v>
      </c>
    </row>
    <row r="158" spans="1:6" x14ac:dyDescent="0.3">
      <c r="A158" s="2" t="s">
        <v>431</v>
      </c>
      <c r="B158" s="2" t="s">
        <v>221</v>
      </c>
      <c r="C158" s="2" t="s">
        <v>281</v>
      </c>
      <c r="D158" s="2" t="s">
        <v>274</v>
      </c>
      <c r="E158" s="2">
        <v>4331.41</v>
      </c>
      <c r="F158" s="4">
        <v>45058</v>
      </c>
    </row>
    <row r="159" spans="1:6" x14ac:dyDescent="0.3">
      <c r="A159" s="2" t="s">
        <v>432</v>
      </c>
      <c r="B159" s="2" t="s">
        <v>222</v>
      </c>
      <c r="C159" s="2" t="s">
        <v>268</v>
      </c>
      <c r="D159" s="2" t="s">
        <v>272</v>
      </c>
      <c r="E159" s="2">
        <v>1438.3</v>
      </c>
      <c r="F159" s="4">
        <v>45119</v>
      </c>
    </row>
    <row r="160" spans="1:6" x14ac:dyDescent="0.3">
      <c r="A160" s="2" t="s">
        <v>433</v>
      </c>
      <c r="B160" s="2" t="s">
        <v>223</v>
      </c>
      <c r="C160" s="2" t="s">
        <v>268</v>
      </c>
      <c r="D160" s="2" t="s">
        <v>272</v>
      </c>
      <c r="E160" s="2">
        <v>4687.68</v>
      </c>
      <c r="F160" s="4">
        <v>45024</v>
      </c>
    </row>
    <row r="161" spans="1:6" x14ac:dyDescent="0.3">
      <c r="A161" s="2" t="s">
        <v>434</v>
      </c>
      <c r="B161" s="2" t="s">
        <v>224</v>
      </c>
      <c r="C161" s="2" t="s">
        <v>268</v>
      </c>
      <c r="D161" s="2" t="s">
        <v>269</v>
      </c>
      <c r="E161" s="2">
        <v>1023.65</v>
      </c>
      <c r="F161" s="4">
        <v>45277</v>
      </c>
    </row>
    <row r="162" spans="1:6" x14ac:dyDescent="0.3">
      <c r="A162" s="2" t="s">
        <v>435</v>
      </c>
      <c r="B162" s="2" t="s">
        <v>225</v>
      </c>
      <c r="C162" s="2" t="s">
        <v>268</v>
      </c>
      <c r="D162" s="2" t="s">
        <v>274</v>
      </c>
      <c r="E162" s="2">
        <v>4178.5200000000004</v>
      </c>
      <c r="F162" s="4">
        <v>45094</v>
      </c>
    </row>
    <row r="163" spans="1:6" x14ac:dyDescent="0.3">
      <c r="A163" s="2" t="s">
        <v>436</v>
      </c>
      <c r="B163" s="2" t="s">
        <v>226</v>
      </c>
      <c r="C163" s="2" t="s">
        <v>268</v>
      </c>
      <c r="D163" s="2" t="s">
        <v>274</v>
      </c>
      <c r="E163" s="2">
        <v>2212.8000000000002</v>
      </c>
      <c r="F163" s="4">
        <v>44927</v>
      </c>
    </row>
    <row r="164" spans="1:6" x14ac:dyDescent="0.3">
      <c r="A164" s="2" t="s">
        <v>437</v>
      </c>
      <c r="B164" s="2" t="s">
        <v>228</v>
      </c>
      <c r="C164" s="2" t="s">
        <v>293</v>
      </c>
      <c r="D164" s="2" t="s">
        <v>269</v>
      </c>
      <c r="E164" s="2">
        <v>4450.88</v>
      </c>
      <c r="F164" s="4">
        <v>45104</v>
      </c>
    </row>
    <row r="165" spans="1:6" x14ac:dyDescent="0.3">
      <c r="A165" s="2" t="s">
        <v>438</v>
      </c>
      <c r="B165" s="2" t="s">
        <v>229</v>
      </c>
      <c r="C165" s="2" t="s">
        <v>277</v>
      </c>
      <c r="D165" s="2" t="s">
        <v>274</v>
      </c>
      <c r="E165" s="2">
        <v>4406.26</v>
      </c>
      <c r="F165" s="4">
        <v>45135</v>
      </c>
    </row>
    <row r="166" spans="1:6" x14ac:dyDescent="0.3">
      <c r="A166" s="2" t="s">
        <v>439</v>
      </c>
      <c r="B166" s="2" t="s">
        <v>230</v>
      </c>
      <c r="C166" s="2" t="s">
        <v>271</v>
      </c>
      <c r="D166" s="2" t="s">
        <v>272</v>
      </c>
      <c r="E166" s="2">
        <v>4126.66</v>
      </c>
      <c r="F166" s="4">
        <v>45020</v>
      </c>
    </row>
    <row r="167" spans="1:6" x14ac:dyDescent="0.3">
      <c r="A167" s="2" t="s">
        <v>440</v>
      </c>
      <c r="B167" s="2" t="s">
        <v>231</v>
      </c>
      <c r="C167" s="2" t="s">
        <v>277</v>
      </c>
      <c r="D167" s="2" t="s">
        <v>269</v>
      </c>
      <c r="E167" s="2">
        <v>4055.14</v>
      </c>
      <c r="F167" s="4">
        <v>44938</v>
      </c>
    </row>
    <row r="168" spans="1:6" x14ac:dyDescent="0.3">
      <c r="A168" s="2" t="s">
        <v>441</v>
      </c>
      <c r="B168" s="2" t="s">
        <v>232</v>
      </c>
      <c r="C168" s="2" t="s">
        <v>268</v>
      </c>
      <c r="D168" s="2" t="s">
        <v>269</v>
      </c>
      <c r="E168" s="2">
        <v>1871.06</v>
      </c>
      <c r="F168" s="4">
        <v>45245</v>
      </c>
    </row>
    <row r="169" spans="1:6" x14ac:dyDescent="0.3">
      <c r="A169" s="2" t="s">
        <v>442</v>
      </c>
      <c r="B169" s="2" t="s">
        <v>233</v>
      </c>
      <c r="C169" s="2" t="s">
        <v>293</v>
      </c>
      <c r="D169" s="2" t="s">
        <v>274</v>
      </c>
      <c r="E169" s="2">
        <v>864.14</v>
      </c>
      <c r="F169" s="4">
        <v>45198</v>
      </c>
    </row>
    <row r="170" spans="1:6" x14ac:dyDescent="0.3">
      <c r="A170" s="2" t="s">
        <v>443</v>
      </c>
      <c r="B170" s="2" t="s">
        <v>234</v>
      </c>
      <c r="C170" s="2" t="s">
        <v>281</v>
      </c>
      <c r="D170" s="2" t="s">
        <v>269</v>
      </c>
      <c r="E170" s="2">
        <v>2313.41</v>
      </c>
      <c r="F170" s="4">
        <v>45131</v>
      </c>
    </row>
    <row r="171" spans="1:6" x14ac:dyDescent="0.3">
      <c r="A171" s="2" t="s">
        <v>444</v>
      </c>
      <c r="B171" s="2" t="s">
        <v>235</v>
      </c>
      <c r="C171" s="2" t="s">
        <v>293</v>
      </c>
      <c r="D171" s="2" t="s">
        <v>274</v>
      </c>
      <c r="E171" s="2">
        <v>1280.8599999999999</v>
      </c>
      <c r="F171" s="4">
        <v>44988</v>
      </c>
    </row>
    <row r="172" spans="1:6" x14ac:dyDescent="0.3">
      <c r="A172" s="2" t="s">
        <v>445</v>
      </c>
      <c r="B172" s="2" t="s">
        <v>236</v>
      </c>
      <c r="C172" s="2" t="s">
        <v>268</v>
      </c>
      <c r="D172" s="2" t="s">
        <v>274</v>
      </c>
      <c r="E172" s="2">
        <v>3627.28</v>
      </c>
      <c r="F172" s="4">
        <v>45034</v>
      </c>
    </row>
    <row r="173" spans="1:6" x14ac:dyDescent="0.3">
      <c r="A173" s="2" t="s">
        <v>446</v>
      </c>
      <c r="B173" s="2" t="s">
        <v>237</v>
      </c>
      <c r="C173" s="2" t="s">
        <v>293</v>
      </c>
      <c r="D173" s="2" t="s">
        <v>274</v>
      </c>
      <c r="E173" s="2">
        <v>2057.4499999999998</v>
      </c>
      <c r="F173" s="4">
        <v>44994</v>
      </c>
    </row>
    <row r="174" spans="1:6" x14ac:dyDescent="0.3">
      <c r="A174" s="2" t="s">
        <v>447</v>
      </c>
      <c r="B174" s="2" t="s">
        <v>238</v>
      </c>
      <c r="C174" s="2" t="s">
        <v>293</v>
      </c>
      <c r="D174" s="2" t="s">
        <v>274</v>
      </c>
      <c r="E174" s="2">
        <v>4890.25</v>
      </c>
      <c r="F174" s="4">
        <v>45081</v>
      </c>
    </row>
    <row r="175" spans="1:6" x14ac:dyDescent="0.3">
      <c r="A175" s="2" t="s">
        <v>448</v>
      </c>
      <c r="B175" s="2" t="s">
        <v>239</v>
      </c>
      <c r="C175" s="2" t="s">
        <v>268</v>
      </c>
      <c r="D175" s="2" t="s">
        <v>274</v>
      </c>
      <c r="E175" s="2">
        <v>3384.37</v>
      </c>
      <c r="F175" s="4">
        <v>45230</v>
      </c>
    </row>
    <row r="176" spans="1:6" x14ac:dyDescent="0.3">
      <c r="A176" s="2" t="s">
        <v>449</v>
      </c>
      <c r="B176" s="2" t="s">
        <v>240</v>
      </c>
      <c r="C176" s="2" t="s">
        <v>293</v>
      </c>
      <c r="D176" s="2" t="s">
        <v>269</v>
      </c>
      <c r="E176" s="2">
        <v>4201.16</v>
      </c>
      <c r="F176" s="4">
        <v>45221</v>
      </c>
    </row>
    <row r="177" spans="1:6" x14ac:dyDescent="0.3">
      <c r="A177" s="2" t="s">
        <v>450</v>
      </c>
      <c r="B177" s="2" t="s">
        <v>241</v>
      </c>
      <c r="C177" s="2" t="s">
        <v>271</v>
      </c>
      <c r="D177" s="2" t="s">
        <v>272</v>
      </c>
      <c r="E177" s="2">
        <v>1096.3599999999999</v>
      </c>
      <c r="F177" s="4">
        <v>45042</v>
      </c>
    </row>
    <row r="178" spans="1:6" x14ac:dyDescent="0.3">
      <c r="A178" s="2" t="s">
        <v>451</v>
      </c>
      <c r="B178" s="2" t="s">
        <v>242</v>
      </c>
      <c r="C178" s="2" t="s">
        <v>271</v>
      </c>
      <c r="D178" s="2" t="s">
        <v>272</v>
      </c>
      <c r="E178" s="2">
        <v>4379.07</v>
      </c>
      <c r="F178" s="4">
        <v>45154</v>
      </c>
    </row>
    <row r="179" spans="1:6" x14ac:dyDescent="0.3">
      <c r="A179" s="2" t="s">
        <v>452</v>
      </c>
      <c r="B179" s="2" t="s">
        <v>243</v>
      </c>
      <c r="C179" s="2" t="s">
        <v>293</v>
      </c>
      <c r="D179" s="2" t="s">
        <v>269</v>
      </c>
      <c r="E179" s="2">
        <v>4652.41</v>
      </c>
      <c r="F179" s="4">
        <v>44943</v>
      </c>
    </row>
    <row r="180" spans="1:6" x14ac:dyDescent="0.3">
      <c r="A180" s="2" t="s">
        <v>453</v>
      </c>
      <c r="B180" s="2" t="s">
        <v>244</v>
      </c>
      <c r="C180" s="2" t="s">
        <v>281</v>
      </c>
      <c r="D180" s="2" t="s">
        <v>269</v>
      </c>
      <c r="E180" s="2">
        <v>2691.78</v>
      </c>
      <c r="F180" s="4">
        <v>44993</v>
      </c>
    </row>
    <row r="181" spans="1:6" x14ac:dyDescent="0.3">
      <c r="A181" s="2" t="s">
        <v>454</v>
      </c>
      <c r="B181" s="2" t="s">
        <v>246</v>
      </c>
      <c r="C181" s="2" t="s">
        <v>268</v>
      </c>
      <c r="D181" s="2" t="s">
        <v>272</v>
      </c>
      <c r="E181" s="2">
        <v>3228.14</v>
      </c>
      <c r="F181" s="4">
        <v>44933</v>
      </c>
    </row>
    <row r="182" spans="1:6" x14ac:dyDescent="0.3">
      <c r="A182" s="2" t="s">
        <v>455</v>
      </c>
      <c r="B182" s="2" t="s">
        <v>247</v>
      </c>
      <c r="C182" s="2" t="s">
        <v>271</v>
      </c>
      <c r="D182" s="2" t="s">
        <v>272</v>
      </c>
      <c r="E182" s="2">
        <v>3941.64</v>
      </c>
      <c r="F182" s="4">
        <v>45172</v>
      </c>
    </row>
    <row r="183" spans="1:6" x14ac:dyDescent="0.3">
      <c r="A183" s="2" t="s">
        <v>456</v>
      </c>
      <c r="B183" s="2" t="s">
        <v>248</v>
      </c>
      <c r="C183" s="2" t="s">
        <v>281</v>
      </c>
      <c r="D183" s="2" t="s">
        <v>272</v>
      </c>
      <c r="E183" s="2">
        <v>1286.77</v>
      </c>
      <c r="F183" s="4">
        <v>45028</v>
      </c>
    </row>
    <row r="184" spans="1:6" x14ac:dyDescent="0.3">
      <c r="A184" s="2" t="s">
        <v>457</v>
      </c>
      <c r="B184" s="2" t="s">
        <v>249</v>
      </c>
      <c r="C184" s="2" t="s">
        <v>293</v>
      </c>
      <c r="D184" s="2" t="s">
        <v>272</v>
      </c>
      <c r="E184" s="2">
        <v>2761.55</v>
      </c>
      <c r="F184" s="4">
        <v>44960</v>
      </c>
    </row>
    <row r="185" spans="1:6" x14ac:dyDescent="0.3">
      <c r="A185" s="2" t="s">
        <v>458</v>
      </c>
      <c r="B185" s="2" t="s">
        <v>250</v>
      </c>
      <c r="C185" s="2" t="s">
        <v>281</v>
      </c>
      <c r="D185" s="2" t="s">
        <v>272</v>
      </c>
      <c r="E185" s="2">
        <v>2293.98</v>
      </c>
      <c r="F185" s="4">
        <v>44983</v>
      </c>
    </row>
    <row r="186" spans="1:6" x14ac:dyDescent="0.3">
      <c r="A186" s="2" t="s">
        <v>459</v>
      </c>
      <c r="B186" s="2" t="s">
        <v>251</v>
      </c>
      <c r="C186" s="2" t="s">
        <v>277</v>
      </c>
      <c r="D186" s="2" t="s">
        <v>274</v>
      </c>
      <c r="E186" s="2">
        <v>1158.68</v>
      </c>
      <c r="F186" s="4">
        <v>45006</v>
      </c>
    </row>
    <row r="187" spans="1:6" x14ac:dyDescent="0.3">
      <c r="A187" s="2" t="s">
        <v>460</v>
      </c>
      <c r="B187" s="2" t="s">
        <v>252</v>
      </c>
      <c r="C187" s="2" t="s">
        <v>271</v>
      </c>
      <c r="D187" s="2" t="s">
        <v>269</v>
      </c>
      <c r="E187" s="2">
        <v>2153.9</v>
      </c>
      <c r="F187" s="4">
        <v>45012</v>
      </c>
    </row>
    <row r="188" spans="1:6" x14ac:dyDescent="0.3">
      <c r="A188" s="2" t="s">
        <v>461</v>
      </c>
      <c r="B188" s="2" t="s">
        <v>253</v>
      </c>
      <c r="C188" s="2" t="s">
        <v>293</v>
      </c>
      <c r="D188" s="2" t="s">
        <v>274</v>
      </c>
      <c r="E188" s="2">
        <v>806.78</v>
      </c>
      <c r="F188" s="4">
        <v>44970</v>
      </c>
    </row>
    <row r="189" spans="1:6" x14ac:dyDescent="0.3">
      <c r="A189" s="2" t="s">
        <v>462</v>
      </c>
      <c r="B189" s="2" t="s">
        <v>254</v>
      </c>
      <c r="C189" s="2" t="s">
        <v>268</v>
      </c>
      <c r="D189" s="2" t="s">
        <v>272</v>
      </c>
      <c r="E189" s="2">
        <v>616.15</v>
      </c>
      <c r="F189" s="4">
        <v>45028</v>
      </c>
    </row>
    <row r="190" spans="1:6" x14ac:dyDescent="0.3">
      <c r="A190" s="2" t="s">
        <v>463</v>
      </c>
      <c r="B190" s="2" t="s">
        <v>255</v>
      </c>
      <c r="C190" s="2" t="s">
        <v>293</v>
      </c>
      <c r="D190" s="2" t="s">
        <v>272</v>
      </c>
      <c r="E190" s="2">
        <v>1108.25</v>
      </c>
      <c r="F190" s="4">
        <v>45204</v>
      </c>
    </row>
    <row r="191" spans="1:6" x14ac:dyDescent="0.3">
      <c r="A191" s="2" t="s">
        <v>464</v>
      </c>
      <c r="B191" s="2" t="s">
        <v>256</v>
      </c>
      <c r="C191" s="2" t="s">
        <v>268</v>
      </c>
      <c r="D191" s="2" t="s">
        <v>272</v>
      </c>
      <c r="E191" s="2">
        <v>4834.0200000000004</v>
      </c>
      <c r="F191" s="4">
        <v>45246</v>
      </c>
    </row>
    <row r="192" spans="1:6" x14ac:dyDescent="0.3">
      <c r="A192" s="2" t="s">
        <v>465</v>
      </c>
      <c r="B192" s="2" t="s">
        <v>257</v>
      </c>
      <c r="C192" s="2" t="s">
        <v>293</v>
      </c>
      <c r="D192" s="2" t="s">
        <v>274</v>
      </c>
      <c r="E192" s="2">
        <v>2972.88</v>
      </c>
      <c r="F192" s="4">
        <v>45028</v>
      </c>
    </row>
    <row r="193" spans="1:6" x14ac:dyDescent="0.3">
      <c r="A193" s="2" t="s">
        <v>466</v>
      </c>
      <c r="B193" s="2" t="s">
        <v>258</v>
      </c>
      <c r="C193" s="2" t="s">
        <v>281</v>
      </c>
      <c r="D193" s="2" t="s">
        <v>274</v>
      </c>
      <c r="E193" s="2">
        <v>4846.2</v>
      </c>
      <c r="F193" s="4">
        <v>45169</v>
      </c>
    </row>
    <row r="194" spans="1:6" x14ac:dyDescent="0.3">
      <c r="A194" s="2" t="s">
        <v>467</v>
      </c>
      <c r="B194" s="2" t="s">
        <v>259</v>
      </c>
      <c r="C194" s="2" t="s">
        <v>281</v>
      </c>
      <c r="D194" s="2" t="s">
        <v>272</v>
      </c>
      <c r="E194" s="2">
        <v>2446.2399999999998</v>
      </c>
      <c r="F194" s="4">
        <v>45184</v>
      </c>
    </row>
    <row r="195" spans="1:6" x14ac:dyDescent="0.3">
      <c r="A195" s="2" t="s">
        <v>468</v>
      </c>
      <c r="B195" s="2" t="s">
        <v>260</v>
      </c>
      <c r="C195" s="2" t="s">
        <v>281</v>
      </c>
      <c r="D195" s="2" t="s">
        <v>274</v>
      </c>
      <c r="E195" s="2">
        <v>1903.17</v>
      </c>
      <c r="F195" s="4">
        <v>45022</v>
      </c>
    </row>
    <row r="196" spans="1:6" x14ac:dyDescent="0.3">
      <c r="A196" s="2" t="s">
        <v>469</v>
      </c>
      <c r="B196" s="2" t="s">
        <v>261</v>
      </c>
      <c r="C196" s="2" t="s">
        <v>277</v>
      </c>
      <c r="D196" s="2" t="s">
        <v>274</v>
      </c>
      <c r="E196" s="2">
        <v>2777.64</v>
      </c>
      <c r="F196" s="4">
        <v>45157</v>
      </c>
    </row>
    <row r="197" spans="1:6" x14ac:dyDescent="0.3">
      <c r="A197" s="2" t="s">
        <v>470</v>
      </c>
      <c r="B197" s="2" t="s">
        <v>262</v>
      </c>
      <c r="C197" s="2" t="s">
        <v>268</v>
      </c>
      <c r="D197" s="2" t="s">
        <v>272</v>
      </c>
      <c r="E197" s="2">
        <v>2477.8000000000002</v>
      </c>
      <c r="F197" s="4">
        <v>45225</v>
      </c>
    </row>
    <row r="198" spans="1:6" x14ac:dyDescent="0.3">
      <c r="A198" s="2" t="s">
        <v>471</v>
      </c>
      <c r="B198" s="2" t="s">
        <v>263</v>
      </c>
      <c r="C198" s="2" t="s">
        <v>281</v>
      </c>
      <c r="D198" s="2" t="s">
        <v>274</v>
      </c>
      <c r="E198" s="2">
        <v>975.49</v>
      </c>
      <c r="F198" s="4">
        <v>45017</v>
      </c>
    </row>
    <row r="199" spans="1:6" x14ac:dyDescent="0.3">
      <c r="A199" s="2" t="s">
        <v>472</v>
      </c>
      <c r="B199" s="2" t="s">
        <v>264</v>
      </c>
      <c r="C199" s="2" t="s">
        <v>277</v>
      </c>
      <c r="D199" s="2" t="s">
        <v>269</v>
      </c>
      <c r="E199" s="2">
        <v>3383.72</v>
      </c>
      <c r="F199" s="4">
        <v>45061</v>
      </c>
    </row>
    <row r="200" spans="1:6" x14ac:dyDescent="0.3">
      <c r="A200" s="2" t="s">
        <v>473</v>
      </c>
      <c r="B200" s="2" t="s">
        <v>265</v>
      </c>
      <c r="C200" s="2" t="s">
        <v>268</v>
      </c>
      <c r="D200" s="2" t="s">
        <v>269</v>
      </c>
      <c r="E200" s="2">
        <v>1472.17</v>
      </c>
      <c r="F200" s="4">
        <v>45047</v>
      </c>
    </row>
    <row r="201" spans="1:6" x14ac:dyDescent="0.3">
      <c r="A201" s="2" t="s">
        <v>474</v>
      </c>
      <c r="B201" s="2" t="s">
        <v>266</v>
      </c>
      <c r="C201" s="2" t="s">
        <v>293</v>
      </c>
      <c r="D201" s="2" t="s">
        <v>269</v>
      </c>
      <c r="E201" s="2">
        <v>3288.15</v>
      </c>
      <c r="F201" s="4">
        <v>45290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83684-4C1A-4982-ABE4-B5234F48EF2E}">
  <dimension ref="A1:K51"/>
  <sheetViews>
    <sheetView workbookViewId="0">
      <selection sqref="A1:XFD1048576"/>
    </sheetView>
  </sheetViews>
  <sheetFormatPr defaultRowHeight="14.4" x14ac:dyDescent="0.3"/>
  <cols>
    <col min="1" max="1" width="9.21875" bestFit="1" customWidth="1"/>
    <col min="2" max="2" width="9.77734375" bestFit="1" customWidth="1"/>
    <col min="3" max="3" width="9.44140625" bestFit="1" customWidth="1"/>
    <col min="4" max="4" width="6.5546875" bestFit="1" customWidth="1"/>
    <col min="5" max="5" width="12.21875" bestFit="1" customWidth="1"/>
    <col min="6" max="6" width="14.5546875" bestFit="1" customWidth="1"/>
    <col min="7" max="7" width="11.88671875" bestFit="1" customWidth="1"/>
    <col min="8" max="8" width="15.109375" bestFit="1" customWidth="1"/>
    <col min="9" max="9" width="16.6640625" bestFit="1" customWidth="1"/>
    <col min="10" max="10" width="16.109375" bestFit="1" customWidth="1"/>
    <col min="11" max="11" width="24" bestFit="1" customWidth="1"/>
  </cols>
  <sheetData>
    <row r="1" spans="1:11" x14ac:dyDescent="0.3">
      <c r="A1" s="3" t="s">
        <v>819</v>
      </c>
      <c r="B1" s="3" t="s">
        <v>835</v>
      </c>
      <c r="C1" s="3" t="s">
        <v>836</v>
      </c>
      <c r="D1" s="3" t="s">
        <v>837</v>
      </c>
      <c r="E1" s="3" t="s">
        <v>838</v>
      </c>
      <c r="F1" s="3" t="s">
        <v>839</v>
      </c>
      <c r="G1" s="3" t="s">
        <v>840</v>
      </c>
      <c r="H1" s="3" t="s">
        <v>841</v>
      </c>
      <c r="I1" s="3" t="s">
        <v>842</v>
      </c>
      <c r="J1" s="3" t="s">
        <v>843</v>
      </c>
      <c r="K1" s="3" t="s">
        <v>844</v>
      </c>
    </row>
    <row r="2" spans="1:11" x14ac:dyDescent="0.3">
      <c r="A2" s="2" t="s">
        <v>24</v>
      </c>
      <c r="B2" s="2" t="s">
        <v>475</v>
      </c>
      <c r="C2" s="2" t="s">
        <v>476</v>
      </c>
      <c r="D2" s="2" t="s">
        <v>477</v>
      </c>
      <c r="E2" s="4">
        <v>20244</v>
      </c>
      <c r="F2" s="2">
        <v>6939585183</v>
      </c>
      <c r="G2" s="2" t="s">
        <v>478</v>
      </c>
      <c r="H2" s="4">
        <v>44735</v>
      </c>
      <c r="I2" s="2" t="s">
        <v>479</v>
      </c>
      <c r="J2" s="2" t="s">
        <v>480</v>
      </c>
      <c r="K2" s="2" t="s">
        <v>481</v>
      </c>
    </row>
    <row r="3" spans="1:11" x14ac:dyDescent="0.3">
      <c r="A3" s="2" t="s">
        <v>105</v>
      </c>
      <c r="B3" s="2" t="s">
        <v>482</v>
      </c>
      <c r="C3" s="2" t="s">
        <v>483</v>
      </c>
      <c r="D3" s="2" t="s">
        <v>477</v>
      </c>
      <c r="E3" s="4">
        <v>30967</v>
      </c>
      <c r="F3" s="2">
        <v>8228188767</v>
      </c>
      <c r="G3" s="2" t="s">
        <v>484</v>
      </c>
      <c r="H3" s="4">
        <v>44576</v>
      </c>
      <c r="I3" s="2" t="s">
        <v>485</v>
      </c>
      <c r="J3" s="2" t="s">
        <v>486</v>
      </c>
      <c r="K3" s="2" t="s">
        <v>487</v>
      </c>
    </row>
    <row r="4" spans="1:11" x14ac:dyDescent="0.3">
      <c r="A4" s="2" t="s">
        <v>40</v>
      </c>
      <c r="B4" s="2" t="s">
        <v>488</v>
      </c>
      <c r="C4" s="2" t="s">
        <v>489</v>
      </c>
      <c r="D4" s="2" t="s">
        <v>490</v>
      </c>
      <c r="E4" s="4">
        <v>28358</v>
      </c>
      <c r="F4" s="2">
        <v>8397029847</v>
      </c>
      <c r="G4" s="2" t="s">
        <v>484</v>
      </c>
      <c r="H4" s="4">
        <v>44599</v>
      </c>
      <c r="I4" s="2" t="s">
        <v>485</v>
      </c>
      <c r="J4" s="2" t="s">
        <v>491</v>
      </c>
      <c r="K4" s="2" t="s">
        <v>492</v>
      </c>
    </row>
    <row r="5" spans="1:11" x14ac:dyDescent="0.3">
      <c r="A5" s="2" t="s">
        <v>99</v>
      </c>
      <c r="B5" s="2" t="s">
        <v>493</v>
      </c>
      <c r="C5" s="2" t="s">
        <v>494</v>
      </c>
      <c r="D5" s="2" t="s">
        <v>477</v>
      </c>
      <c r="E5" s="4">
        <v>29637</v>
      </c>
      <c r="F5" s="2">
        <v>9019443432</v>
      </c>
      <c r="G5" s="2" t="s">
        <v>495</v>
      </c>
      <c r="H5" s="4">
        <v>44257</v>
      </c>
      <c r="I5" s="2" t="s">
        <v>496</v>
      </c>
      <c r="J5" s="2" t="s">
        <v>497</v>
      </c>
      <c r="K5" s="2" t="s">
        <v>498</v>
      </c>
    </row>
    <row r="6" spans="1:11" x14ac:dyDescent="0.3">
      <c r="A6" s="2" t="s">
        <v>33</v>
      </c>
      <c r="B6" s="2" t="s">
        <v>475</v>
      </c>
      <c r="C6" s="2" t="s">
        <v>499</v>
      </c>
      <c r="D6" s="2" t="s">
        <v>490</v>
      </c>
      <c r="E6" s="4">
        <v>22090</v>
      </c>
      <c r="F6" s="2">
        <v>7734463155</v>
      </c>
      <c r="G6" s="2" t="s">
        <v>495</v>
      </c>
      <c r="H6" s="4">
        <v>44468</v>
      </c>
      <c r="I6" s="2" t="s">
        <v>500</v>
      </c>
      <c r="J6" s="2" t="s">
        <v>501</v>
      </c>
      <c r="K6" s="2" t="s">
        <v>502</v>
      </c>
    </row>
    <row r="7" spans="1:11" x14ac:dyDescent="0.3">
      <c r="A7" s="2" t="s">
        <v>503</v>
      </c>
      <c r="B7" s="2" t="s">
        <v>504</v>
      </c>
      <c r="C7" s="2" t="s">
        <v>489</v>
      </c>
      <c r="D7" s="2" t="s">
        <v>490</v>
      </c>
      <c r="E7" s="4">
        <v>23178</v>
      </c>
      <c r="F7" s="2">
        <v>7561777264</v>
      </c>
      <c r="G7" s="2" t="s">
        <v>484</v>
      </c>
      <c r="H7" s="4">
        <v>44836</v>
      </c>
      <c r="I7" s="2" t="s">
        <v>496</v>
      </c>
      <c r="J7" s="2" t="s">
        <v>505</v>
      </c>
      <c r="K7" s="2" t="s">
        <v>506</v>
      </c>
    </row>
    <row r="8" spans="1:11" x14ac:dyDescent="0.3">
      <c r="A8" s="2" t="s">
        <v>156</v>
      </c>
      <c r="B8" s="2" t="s">
        <v>507</v>
      </c>
      <c r="C8" s="2" t="s">
        <v>494</v>
      </c>
      <c r="D8" s="2" t="s">
        <v>477</v>
      </c>
      <c r="E8" s="4">
        <v>32667</v>
      </c>
      <c r="F8" s="2">
        <v>6278710077</v>
      </c>
      <c r="G8" s="2" t="s">
        <v>478</v>
      </c>
      <c r="H8" s="4">
        <v>44555</v>
      </c>
      <c r="I8" s="2" t="s">
        <v>500</v>
      </c>
      <c r="J8" s="2" t="s">
        <v>508</v>
      </c>
      <c r="K8" s="2" t="s">
        <v>509</v>
      </c>
    </row>
    <row r="9" spans="1:11" x14ac:dyDescent="0.3">
      <c r="A9" s="2" t="s">
        <v>147</v>
      </c>
      <c r="B9" s="2" t="s">
        <v>475</v>
      </c>
      <c r="C9" s="2" t="s">
        <v>510</v>
      </c>
      <c r="D9" s="2" t="s">
        <v>477</v>
      </c>
      <c r="E9" s="4">
        <v>27946</v>
      </c>
      <c r="F9" s="2">
        <v>7090558393</v>
      </c>
      <c r="G9" s="2" t="s">
        <v>511</v>
      </c>
      <c r="H9" s="4">
        <v>44341</v>
      </c>
      <c r="I9" s="2" t="s">
        <v>479</v>
      </c>
      <c r="J9" s="2" t="s">
        <v>512</v>
      </c>
      <c r="K9" s="2" t="s">
        <v>513</v>
      </c>
    </row>
    <row r="10" spans="1:11" x14ac:dyDescent="0.3">
      <c r="A10" s="2" t="s">
        <v>170</v>
      </c>
      <c r="B10" s="2" t="s">
        <v>488</v>
      </c>
      <c r="C10" s="2" t="s">
        <v>510</v>
      </c>
      <c r="D10" s="2" t="s">
        <v>490</v>
      </c>
      <c r="E10" s="4">
        <v>26278</v>
      </c>
      <c r="F10" s="2">
        <v>7060324619</v>
      </c>
      <c r="G10" s="2" t="s">
        <v>484</v>
      </c>
      <c r="H10" s="4">
        <v>44822</v>
      </c>
      <c r="I10" s="2" t="s">
        <v>485</v>
      </c>
      <c r="J10" s="2" t="s">
        <v>514</v>
      </c>
      <c r="K10" s="2" t="s">
        <v>515</v>
      </c>
    </row>
    <row r="11" spans="1:11" x14ac:dyDescent="0.3">
      <c r="A11" s="2" t="s">
        <v>85</v>
      </c>
      <c r="B11" s="2" t="s">
        <v>493</v>
      </c>
      <c r="C11" s="2" t="s">
        <v>516</v>
      </c>
      <c r="D11" s="2" t="s">
        <v>490</v>
      </c>
      <c r="E11" s="4">
        <v>37177</v>
      </c>
      <c r="F11" s="2">
        <v>7081396733</v>
      </c>
      <c r="G11" s="2" t="s">
        <v>495</v>
      </c>
      <c r="H11" s="4">
        <v>44797</v>
      </c>
      <c r="I11" s="2" t="s">
        <v>479</v>
      </c>
      <c r="J11" s="2" t="s">
        <v>517</v>
      </c>
      <c r="K11" s="2" t="s">
        <v>518</v>
      </c>
    </row>
    <row r="12" spans="1:11" x14ac:dyDescent="0.3">
      <c r="A12" s="2" t="s">
        <v>161</v>
      </c>
      <c r="B12" s="2" t="s">
        <v>482</v>
      </c>
      <c r="C12" s="2" t="s">
        <v>489</v>
      </c>
      <c r="D12" s="2" t="s">
        <v>477</v>
      </c>
      <c r="E12" s="4">
        <v>24445</v>
      </c>
      <c r="F12" s="2">
        <v>8990604070</v>
      </c>
      <c r="G12" s="2" t="s">
        <v>478</v>
      </c>
      <c r="H12" s="4">
        <v>44831</v>
      </c>
      <c r="I12" s="2" t="s">
        <v>500</v>
      </c>
      <c r="J12" s="2" t="s">
        <v>519</v>
      </c>
      <c r="K12" s="2" t="s">
        <v>520</v>
      </c>
    </row>
    <row r="13" spans="1:11" x14ac:dyDescent="0.3">
      <c r="A13" s="2" t="s">
        <v>43</v>
      </c>
      <c r="B13" s="2" t="s">
        <v>488</v>
      </c>
      <c r="C13" s="2" t="s">
        <v>510</v>
      </c>
      <c r="D13" s="2" t="s">
        <v>477</v>
      </c>
      <c r="E13" s="4">
        <v>33580</v>
      </c>
      <c r="F13" s="2">
        <v>8135666049</v>
      </c>
      <c r="G13" s="2" t="s">
        <v>484</v>
      </c>
      <c r="H13" s="4">
        <v>45043</v>
      </c>
      <c r="I13" s="2" t="s">
        <v>500</v>
      </c>
      <c r="J13" s="2" t="s">
        <v>521</v>
      </c>
      <c r="K13" s="2" t="s">
        <v>515</v>
      </c>
    </row>
    <row r="14" spans="1:11" x14ac:dyDescent="0.3">
      <c r="A14" s="2" t="s">
        <v>135</v>
      </c>
      <c r="B14" s="2" t="s">
        <v>488</v>
      </c>
      <c r="C14" s="2" t="s">
        <v>494</v>
      </c>
      <c r="D14" s="2" t="s">
        <v>477</v>
      </c>
      <c r="E14" s="4">
        <v>32960</v>
      </c>
      <c r="F14" s="2">
        <v>9059178882</v>
      </c>
      <c r="G14" s="2" t="s">
        <v>484</v>
      </c>
      <c r="H14" s="4">
        <v>44553</v>
      </c>
      <c r="I14" s="2" t="s">
        <v>479</v>
      </c>
      <c r="J14" s="2" t="s">
        <v>522</v>
      </c>
      <c r="K14" s="2" t="s">
        <v>523</v>
      </c>
    </row>
    <row r="15" spans="1:11" x14ac:dyDescent="0.3">
      <c r="A15" s="2" t="s">
        <v>54</v>
      </c>
      <c r="B15" s="2" t="s">
        <v>507</v>
      </c>
      <c r="C15" s="2" t="s">
        <v>516</v>
      </c>
      <c r="D15" s="2" t="s">
        <v>490</v>
      </c>
      <c r="E15" s="4">
        <v>24895</v>
      </c>
      <c r="F15" s="2">
        <v>7292262512</v>
      </c>
      <c r="G15" s="2" t="s">
        <v>478</v>
      </c>
      <c r="H15" s="4">
        <v>45272</v>
      </c>
      <c r="I15" s="2" t="s">
        <v>500</v>
      </c>
      <c r="J15" s="2" t="s">
        <v>524</v>
      </c>
      <c r="K15" s="2" t="s">
        <v>525</v>
      </c>
    </row>
    <row r="16" spans="1:11" x14ac:dyDescent="0.3">
      <c r="A16" s="2" t="s">
        <v>526</v>
      </c>
      <c r="B16" s="2" t="s">
        <v>527</v>
      </c>
      <c r="C16" s="2" t="s">
        <v>494</v>
      </c>
      <c r="D16" s="2" t="s">
        <v>490</v>
      </c>
      <c r="E16" s="4">
        <v>23508</v>
      </c>
      <c r="F16" s="2">
        <v>6636028516</v>
      </c>
      <c r="G16" s="2" t="s">
        <v>484</v>
      </c>
      <c r="H16" s="4">
        <v>44464</v>
      </c>
      <c r="I16" s="2" t="s">
        <v>479</v>
      </c>
      <c r="J16" s="2" t="s">
        <v>528</v>
      </c>
      <c r="K16" s="2" t="s">
        <v>529</v>
      </c>
    </row>
    <row r="17" spans="1:11" x14ac:dyDescent="0.3">
      <c r="A17" s="2" t="s">
        <v>27</v>
      </c>
      <c r="B17" s="2" t="s">
        <v>493</v>
      </c>
      <c r="C17" s="2" t="s">
        <v>516</v>
      </c>
      <c r="D17" s="2" t="s">
        <v>490</v>
      </c>
      <c r="E17" s="4">
        <v>36729</v>
      </c>
      <c r="F17" s="2">
        <v>7223380592</v>
      </c>
      <c r="G17" s="2" t="s">
        <v>478</v>
      </c>
      <c r="H17" s="4">
        <v>44400</v>
      </c>
      <c r="I17" s="2" t="s">
        <v>485</v>
      </c>
      <c r="J17" s="2" t="s">
        <v>530</v>
      </c>
      <c r="K17" s="2" t="s">
        <v>518</v>
      </c>
    </row>
    <row r="18" spans="1:11" x14ac:dyDescent="0.3">
      <c r="A18" s="2" t="s">
        <v>144</v>
      </c>
      <c r="B18" s="2" t="s">
        <v>531</v>
      </c>
      <c r="C18" s="2" t="s">
        <v>489</v>
      </c>
      <c r="D18" s="2" t="s">
        <v>490</v>
      </c>
      <c r="E18" s="4">
        <v>33359</v>
      </c>
      <c r="F18" s="2">
        <v>6158428240</v>
      </c>
      <c r="G18" s="2" t="s">
        <v>511</v>
      </c>
      <c r="H18" s="4">
        <v>44830</v>
      </c>
      <c r="I18" s="2" t="s">
        <v>479</v>
      </c>
      <c r="J18" s="2" t="s">
        <v>532</v>
      </c>
      <c r="K18" s="2" t="s">
        <v>533</v>
      </c>
    </row>
    <row r="19" spans="1:11" x14ac:dyDescent="0.3">
      <c r="A19" s="2" t="s">
        <v>178</v>
      </c>
      <c r="B19" s="2" t="s">
        <v>488</v>
      </c>
      <c r="C19" s="2" t="s">
        <v>499</v>
      </c>
      <c r="D19" s="2" t="s">
        <v>490</v>
      </c>
      <c r="E19" s="4">
        <v>29122</v>
      </c>
      <c r="F19" s="2">
        <v>7145815738</v>
      </c>
      <c r="G19" s="2" t="s">
        <v>478</v>
      </c>
      <c r="H19" s="4">
        <v>44827</v>
      </c>
      <c r="I19" s="2" t="s">
        <v>485</v>
      </c>
      <c r="J19" s="2" t="s">
        <v>534</v>
      </c>
      <c r="K19" s="2" t="s">
        <v>535</v>
      </c>
    </row>
    <row r="20" spans="1:11" x14ac:dyDescent="0.3">
      <c r="A20" s="2" t="s">
        <v>93</v>
      </c>
      <c r="B20" s="2" t="s">
        <v>527</v>
      </c>
      <c r="C20" s="2" t="s">
        <v>536</v>
      </c>
      <c r="D20" s="2" t="s">
        <v>490</v>
      </c>
      <c r="E20" s="4">
        <v>27538</v>
      </c>
      <c r="F20" s="2">
        <v>8618058864</v>
      </c>
      <c r="G20" s="2" t="s">
        <v>478</v>
      </c>
      <c r="H20" s="4">
        <v>45101</v>
      </c>
      <c r="I20" s="2" t="s">
        <v>479</v>
      </c>
      <c r="J20" s="2" t="s">
        <v>537</v>
      </c>
      <c r="K20" s="2" t="s">
        <v>538</v>
      </c>
    </row>
    <row r="21" spans="1:11" x14ac:dyDescent="0.3">
      <c r="A21" s="2" t="s">
        <v>112</v>
      </c>
      <c r="B21" s="2" t="s">
        <v>531</v>
      </c>
      <c r="C21" s="2" t="s">
        <v>539</v>
      </c>
      <c r="D21" s="2" t="s">
        <v>477</v>
      </c>
      <c r="E21" s="4">
        <v>37778</v>
      </c>
      <c r="F21" s="2">
        <v>8158989953</v>
      </c>
      <c r="G21" s="2" t="s">
        <v>478</v>
      </c>
      <c r="H21" s="4">
        <v>44654</v>
      </c>
      <c r="I21" s="2" t="s">
        <v>500</v>
      </c>
      <c r="J21" s="2" t="s">
        <v>540</v>
      </c>
      <c r="K21" s="2" t="s">
        <v>541</v>
      </c>
    </row>
    <row r="22" spans="1:11" x14ac:dyDescent="0.3">
      <c r="A22" s="2" t="s">
        <v>74</v>
      </c>
      <c r="B22" s="2" t="s">
        <v>493</v>
      </c>
      <c r="C22" s="2" t="s">
        <v>499</v>
      </c>
      <c r="D22" s="2" t="s">
        <v>490</v>
      </c>
      <c r="E22" s="4">
        <v>37316</v>
      </c>
      <c r="F22" s="2">
        <v>7765390555</v>
      </c>
      <c r="G22" s="2" t="s">
        <v>484</v>
      </c>
      <c r="H22" s="4">
        <v>44580</v>
      </c>
      <c r="I22" s="2" t="s">
        <v>479</v>
      </c>
      <c r="J22" s="2" t="s">
        <v>542</v>
      </c>
      <c r="K22" s="2" t="s">
        <v>543</v>
      </c>
    </row>
    <row r="23" spans="1:11" x14ac:dyDescent="0.3">
      <c r="A23" s="2" t="s">
        <v>36</v>
      </c>
      <c r="B23" s="2" t="s">
        <v>544</v>
      </c>
      <c r="C23" s="2" t="s">
        <v>545</v>
      </c>
      <c r="D23" s="2" t="s">
        <v>490</v>
      </c>
      <c r="E23" s="4">
        <v>20219</v>
      </c>
      <c r="F23" s="2">
        <v>6221099573</v>
      </c>
      <c r="G23" s="2" t="s">
        <v>484</v>
      </c>
      <c r="H23" s="4">
        <v>44327</v>
      </c>
      <c r="I23" s="2" t="s">
        <v>500</v>
      </c>
      <c r="J23" s="2" t="s">
        <v>546</v>
      </c>
      <c r="K23" s="2" t="s">
        <v>547</v>
      </c>
    </row>
    <row r="24" spans="1:11" x14ac:dyDescent="0.3">
      <c r="A24" s="2" t="s">
        <v>83</v>
      </c>
      <c r="B24" s="2" t="s">
        <v>504</v>
      </c>
      <c r="C24" s="2" t="s">
        <v>494</v>
      </c>
      <c r="D24" s="2" t="s">
        <v>490</v>
      </c>
      <c r="E24" s="4">
        <v>34387</v>
      </c>
      <c r="F24" s="2">
        <v>6141951830</v>
      </c>
      <c r="G24" s="2" t="s">
        <v>478</v>
      </c>
      <c r="H24" s="4">
        <v>44557</v>
      </c>
      <c r="I24" s="2" t="s">
        <v>479</v>
      </c>
      <c r="J24" s="2" t="s">
        <v>548</v>
      </c>
      <c r="K24" s="2" t="s">
        <v>549</v>
      </c>
    </row>
    <row r="25" spans="1:11" x14ac:dyDescent="0.3">
      <c r="A25" s="2" t="s">
        <v>102</v>
      </c>
      <c r="B25" s="2" t="s">
        <v>527</v>
      </c>
      <c r="C25" s="2" t="s">
        <v>545</v>
      </c>
      <c r="D25" s="2" t="s">
        <v>477</v>
      </c>
      <c r="E25" s="4">
        <v>33546</v>
      </c>
      <c r="F25" s="2">
        <v>7196777444</v>
      </c>
      <c r="G25" s="2" t="s">
        <v>484</v>
      </c>
      <c r="H25" s="4">
        <v>44441</v>
      </c>
      <c r="I25" s="2" t="s">
        <v>479</v>
      </c>
      <c r="J25" s="2" t="s">
        <v>550</v>
      </c>
      <c r="K25" s="2" t="s">
        <v>551</v>
      </c>
    </row>
    <row r="26" spans="1:11" x14ac:dyDescent="0.3">
      <c r="A26" s="2" t="s">
        <v>14</v>
      </c>
      <c r="B26" s="2" t="s">
        <v>552</v>
      </c>
      <c r="C26" s="2" t="s">
        <v>499</v>
      </c>
      <c r="D26" s="2" t="s">
        <v>490</v>
      </c>
      <c r="E26" s="4">
        <v>24333</v>
      </c>
      <c r="F26" s="2">
        <v>7482069727</v>
      </c>
      <c r="G26" s="2" t="s">
        <v>495</v>
      </c>
      <c r="H26" s="4">
        <v>44448</v>
      </c>
      <c r="I26" s="2" t="s">
        <v>496</v>
      </c>
      <c r="J26" s="2" t="s">
        <v>553</v>
      </c>
      <c r="K26" s="2" t="s">
        <v>554</v>
      </c>
    </row>
    <row r="27" spans="1:11" x14ac:dyDescent="0.3">
      <c r="A27" s="2" t="s">
        <v>45</v>
      </c>
      <c r="B27" s="2" t="s">
        <v>544</v>
      </c>
      <c r="C27" s="2" t="s">
        <v>516</v>
      </c>
      <c r="D27" s="2" t="s">
        <v>490</v>
      </c>
      <c r="E27" s="4">
        <v>37953</v>
      </c>
      <c r="F27" s="2">
        <v>9900972256</v>
      </c>
      <c r="G27" s="2" t="s">
        <v>495</v>
      </c>
      <c r="H27" s="4">
        <v>44329</v>
      </c>
      <c r="I27" s="2" t="s">
        <v>500</v>
      </c>
      <c r="J27" s="2" t="s">
        <v>555</v>
      </c>
      <c r="K27" s="2" t="s">
        <v>556</v>
      </c>
    </row>
    <row r="28" spans="1:11" x14ac:dyDescent="0.3">
      <c r="A28" s="2" t="s">
        <v>110</v>
      </c>
      <c r="B28" s="2" t="s">
        <v>504</v>
      </c>
      <c r="C28" s="2" t="s">
        <v>539</v>
      </c>
      <c r="D28" s="2" t="s">
        <v>477</v>
      </c>
      <c r="E28" s="4">
        <v>35975</v>
      </c>
      <c r="F28" s="2">
        <v>8724518272</v>
      </c>
      <c r="G28" s="2" t="s">
        <v>484</v>
      </c>
      <c r="H28" s="4">
        <v>44423</v>
      </c>
      <c r="I28" s="2" t="s">
        <v>496</v>
      </c>
      <c r="J28" s="2" t="s">
        <v>557</v>
      </c>
      <c r="K28" s="2" t="s">
        <v>558</v>
      </c>
    </row>
    <row r="29" spans="1:11" x14ac:dyDescent="0.3">
      <c r="A29" s="2" t="s">
        <v>56</v>
      </c>
      <c r="B29" s="2" t="s">
        <v>507</v>
      </c>
      <c r="C29" s="2" t="s">
        <v>539</v>
      </c>
      <c r="D29" s="2" t="s">
        <v>490</v>
      </c>
      <c r="E29" s="4">
        <v>34072</v>
      </c>
      <c r="F29" s="2">
        <v>7028910482</v>
      </c>
      <c r="G29" s="2" t="s">
        <v>484</v>
      </c>
      <c r="H29" s="4">
        <v>45066</v>
      </c>
      <c r="I29" s="2" t="s">
        <v>500</v>
      </c>
      <c r="J29" s="2" t="s">
        <v>559</v>
      </c>
      <c r="K29" s="2" t="s">
        <v>560</v>
      </c>
    </row>
    <row r="30" spans="1:11" x14ac:dyDescent="0.3">
      <c r="A30" s="2" t="s">
        <v>38</v>
      </c>
      <c r="B30" s="2" t="s">
        <v>475</v>
      </c>
      <c r="C30" s="2" t="s">
        <v>483</v>
      </c>
      <c r="D30" s="2" t="s">
        <v>490</v>
      </c>
      <c r="E30" s="4">
        <v>38487</v>
      </c>
      <c r="F30" s="2">
        <v>8923607677</v>
      </c>
      <c r="G30" s="2" t="s">
        <v>478</v>
      </c>
      <c r="H30" s="4">
        <v>45035</v>
      </c>
      <c r="I30" s="2" t="s">
        <v>496</v>
      </c>
      <c r="J30" s="2" t="s">
        <v>561</v>
      </c>
      <c r="K30" s="2" t="s">
        <v>562</v>
      </c>
    </row>
    <row r="31" spans="1:11" x14ac:dyDescent="0.3">
      <c r="A31" s="2" t="s">
        <v>63</v>
      </c>
      <c r="B31" s="2" t="s">
        <v>482</v>
      </c>
      <c r="C31" s="2" t="s">
        <v>539</v>
      </c>
      <c r="D31" s="2" t="s">
        <v>490</v>
      </c>
      <c r="E31" s="4">
        <v>23734</v>
      </c>
      <c r="F31" s="2">
        <v>6622318721</v>
      </c>
      <c r="G31" s="2" t="s">
        <v>511</v>
      </c>
      <c r="H31" s="4">
        <v>44415</v>
      </c>
      <c r="I31" s="2" t="s">
        <v>485</v>
      </c>
      <c r="J31" s="2" t="s">
        <v>563</v>
      </c>
      <c r="K31" s="2" t="s">
        <v>564</v>
      </c>
    </row>
    <row r="32" spans="1:11" x14ac:dyDescent="0.3">
      <c r="A32" s="2" t="s">
        <v>90</v>
      </c>
      <c r="B32" s="2" t="s">
        <v>552</v>
      </c>
      <c r="C32" s="2" t="s">
        <v>536</v>
      </c>
      <c r="D32" s="2" t="s">
        <v>490</v>
      </c>
      <c r="E32" s="4">
        <v>31791</v>
      </c>
      <c r="F32" s="2">
        <v>8280346676</v>
      </c>
      <c r="G32" s="2" t="s">
        <v>484</v>
      </c>
      <c r="H32" s="4">
        <v>44740</v>
      </c>
      <c r="I32" s="2" t="s">
        <v>479</v>
      </c>
      <c r="J32" s="2" t="s">
        <v>565</v>
      </c>
      <c r="K32" s="2" t="s">
        <v>566</v>
      </c>
    </row>
    <row r="33" spans="1:11" x14ac:dyDescent="0.3">
      <c r="A33" s="2" t="s">
        <v>6</v>
      </c>
      <c r="B33" s="2" t="s">
        <v>507</v>
      </c>
      <c r="C33" s="2" t="s">
        <v>539</v>
      </c>
      <c r="D33" s="2" t="s">
        <v>490</v>
      </c>
      <c r="E33" s="4">
        <v>29594</v>
      </c>
      <c r="F33" s="2">
        <v>8102183595</v>
      </c>
      <c r="G33" s="2" t="s">
        <v>495</v>
      </c>
      <c r="H33" s="4">
        <v>44471</v>
      </c>
      <c r="I33" s="2" t="s">
        <v>500</v>
      </c>
      <c r="J33" s="2" t="s">
        <v>567</v>
      </c>
      <c r="K33" s="2" t="s">
        <v>560</v>
      </c>
    </row>
    <row r="34" spans="1:11" x14ac:dyDescent="0.3">
      <c r="A34" s="2" t="s">
        <v>79</v>
      </c>
      <c r="B34" s="2" t="s">
        <v>493</v>
      </c>
      <c r="C34" s="2" t="s">
        <v>499</v>
      </c>
      <c r="D34" s="2" t="s">
        <v>477</v>
      </c>
      <c r="E34" s="4">
        <v>25605</v>
      </c>
      <c r="F34" s="2">
        <v>7923214041</v>
      </c>
      <c r="G34" s="2" t="s">
        <v>478</v>
      </c>
      <c r="H34" s="4">
        <v>45175</v>
      </c>
      <c r="I34" s="2" t="s">
        <v>500</v>
      </c>
      <c r="J34" s="2" t="s">
        <v>568</v>
      </c>
      <c r="K34" s="2" t="s">
        <v>543</v>
      </c>
    </row>
    <row r="35" spans="1:11" x14ac:dyDescent="0.3">
      <c r="A35" s="2" t="s">
        <v>1</v>
      </c>
      <c r="B35" s="2" t="s">
        <v>507</v>
      </c>
      <c r="C35" s="2" t="s">
        <v>483</v>
      </c>
      <c r="D35" s="2" t="s">
        <v>477</v>
      </c>
      <c r="E35" s="4">
        <v>18289</v>
      </c>
      <c r="F35" s="2">
        <v>8374657733</v>
      </c>
      <c r="G35" s="2" t="s">
        <v>484</v>
      </c>
      <c r="H35" s="4">
        <v>45095</v>
      </c>
      <c r="I35" s="2" t="s">
        <v>479</v>
      </c>
      <c r="J35" s="2" t="s">
        <v>569</v>
      </c>
      <c r="K35" s="2" t="s">
        <v>570</v>
      </c>
    </row>
    <row r="36" spans="1:11" x14ac:dyDescent="0.3">
      <c r="A36" s="2" t="s">
        <v>118</v>
      </c>
      <c r="B36" s="2" t="s">
        <v>475</v>
      </c>
      <c r="C36" s="2" t="s">
        <v>499</v>
      </c>
      <c r="D36" s="2" t="s">
        <v>477</v>
      </c>
      <c r="E36" s="4">
        <v>34072</v>
      </c>
      <c r="F36" s="2">
        <v>7039619487</v>
      </c>
      <c r="G36" s="2" t="s">
        <v>495</v>
      </c>
      <c r="H36" s="4">
        <v>45116</v>
      </c>
      <c r="I36" s="2" t="s">
        <v>500</v>
      </c>
      <c r="J36" s="2" t="s">
        <v>571</v>
      </c>
      <c r="K36" s="2" t="s">
        <v>502</v>
      </c>
    </row>
    <row r="37" spans="1:11" x14ac:dyDescent="0.3">
      <c r="A37" s="2" t="s">
        <v>77</v>
      </c>
      <c r="B37" s="2" t="s">
        <v>493</v>
      </c>
      <c r="C37" s="2" t="s">
        <v>499</v>
      </c>
      <c r="D37" s="2" t="s">
        <v>490</v>
      </c>
      <c r="E37" s="4">
        <v>35790</v>
      </c>
      <c r="F37" s="2">
        <v>8545613046</v>
      </c>
      <c r="G37" s="2" t="s">
        <v>495</v>
      </c>
      <c r="H37" s="4">
        <v>44838</v>
      </c>
      <c r="I37" s="2" t="s">
        <v>500</v>
      </c>
      <c r="J37" s="2" t="s">
        <v>572</v>
      </c>
      <c r="K37" s="2" t="s">
        <v>543</v>
      </c>
    </row>
    <row r="38" spans="1:11" x14ac:dyDescent="0.3">
      <c r="A38" s="2" t="s">
        <v>49</v>
      </c>
      <c r="B38" s="2" t="s">
        <v>552</v>
      </c>
      <c r="C38" s="2" t="s">
        <v>476</v>
      </c>
      <c r="D38" s="2" t="s">
        <v>490</v>
      </c>
      <c r="E38" s="4">
        <v>36196</v>
      </c>
      <c r="F38" s="2">
        <v>8886800195</v>
      </c>
      <c r="G38" s="2" t="s">
        <v>511</v>
      </c>
      <c r="H38" s="4">
        <v>44469</v>
      </c>
      <c r="I38" s="2" t="s">
        <v>496</v>
      </c>
      <c r="J38" s="2" t="s">
        <v>573</v>
      </c>
      <c r="K38" s="2" t="s">
        <v>574</v>
      </c>
    </row>
    <row r="39" spans="1:11" x14ac:dyDescent="0.3">
      <c r="A39" s="2" t="s">
        <v>245</v>
      </c>
      <c r="B39" s="2" t="s">
        <v>475</v>
      </c>
      <c r="C39" s="2" t="s">
        <v>483</v>
      </c>
      <c r="D39" s="2" t="s">
        <v>490</v>
      </c>
      <c r="E39" s="4">
        <v>33414</v>
      </c>
      <c r="F39" s="2">
        <v>6347262390</v>
      </c>
      <c r="G39" s="2" t="s">
        <v>478</v>
      </c>
      <c r="H39" s="4">
        <v>44305</v>
      </c>
      <c r="I39" s="2" t="s">
        <v>500</v>
      </c>
      <c r="J39" s="2" t="s">
        <v>575</v>
      </c>
      <c r="K39" s="2" t="s">
        <v>562</v>
      </c>
    </row>
    <row r="40" spans="1:11" x14ac:dyDescent="0.3">
      <c r="A40" s="2" t="s">
        <v>30</v>
      </c>
      <c r="B40" s="2" t="s">
        <v>531</v>
      </c>
      <c r="C40" s="2" t="s">
        <v>499</v>
      </c>
      <c r="D40" s="2" t="s">
        <v>477</v>
      </c>
      <c r="E40" s="4">
        <v>18609</v>
      </c>
      <c r="F40" s="2">
        <v>9271131338</v>
      </c>
      <c r="G40" s="2" t="s">
        <v>478</v>
      </c>
      <c r="H40" s="4">
        <v>44264</v>
      </c>
      <c r="I40" s="2" t="s">
        <v>485</v>
      </c>
      <c r="J40" s="2" t="s">
        <v>576</v>
      </c>
      <c r="K40" s="2" t="s">
        <v>577</v>
      </c>
    </row>
    <row r="41" spans="1:11" x14ac:dyDescent="0.3">
      <c r="A41" s="2" t="s">
        <v>17</v>
      </c>
      <c r="B41" s="2" t="s">
        <v>482</v>
      </c>
      <c r="C41" s="2" t="s">
        <v>476</v>
      </c>
      <c r="D41" s="2" t="s">
        <v>490</v>
      </c>
      <c r="E41" s="4">
        <v>26449</v>
      </c>
      <c r="F41" s="2">
        <v>7587653815</v>
      </c>
      <c r="G41" s="2" t="s">
        <v>511</v>
      </c>
      <c r="H41" s="4">
        <v>44485</v>
      </c>
      <c r="I41" s="2" t="s">
        <v>485</v>
      </c>
      <c r="J41" s="2" t="s">
        <v>578</v>
      </c>
      <c r="K41" s="2" t="s">
        <v>579</v>
      </c>
    </row>
    <row r="42" spans="1:11" x14ac:dyDescent="0.3">
      <c r="A42" s="2" t="s">
        <v>154</v>
      </c>
      <c r="B42" s="2" t="s">
        <v>552</v>
      </c>
      <c r="C42" s="2" t="s">
        <v>476</v>
      </c>
      <c r="D42" s="2" t="s">
        <v>490</v>
      </c>
      <c r="E42" s="4">
        <v>18798</v>
      </c>
      <c r="F42" s="2">
        <v>7020645498</v>
      </c>
      <c r="G42" s="2" t="s">
        <v>511</v>
      </c>
      <c r="H42" s="4">
        <v>44758</v>
      </c>
      <c r="I42" s="2" t="s">
        <v>479</v>
      </c>
      <c r="J42" s="2" t="s">
        <v>580</v>
      </c>
      <c r="K42" s="2" t="s">
        <v>574</v>
      </c>
    </row>
    <row r="43" spans="1:11" x14ac:dyDescent="0.3">
      <c r="A43" s="2" t="s">
        <v>227</v>
      </c>
      <c r="B43" s="2" t="s">
        <v>531</v>
      </c>
      <c r="C43" s="2" t="s">
        <v>483</v>
      </c>
      <c r="D43" s="2" t="s">
        <v>477</v>
      </c>
      <c r="E43" s="4">
        <v>19958</v>
      </c>
      <c r="F43" s="2">
        <v>7040069008</v>
      </c>
      <c r="G43" s="2" t="s">
        <v>478</v>
      </c>
      <c r="H43" s="4">
        <v>44635</v>
      </c>
      <c r="I43" s="2" t="s">
        <v>500</v>
      </c>
      <c r="J43" s="2" t="s">
        <v>581</v>
      </c>
      <c r="K43" s="2" t="s">
        <v>582</v>
      </c>
    </row>
    <row r="44" spans="1:11" x14ac:dyDescent="0.3">
      <c r="A44" s="2" t="s">
        <v>122</v>
      </c>
      <c r="B44" s="2" t="s">
        <v>504</v>
      </c>
      <c r="C44" s="2" t="s">
        <v>545</v>
      </c>
      <c r="D44" s="2" t="s">
        <v>490</v>
      </c>
      <c r="E44" s="4">
        <v>29305</v>
      </c>
      <c r="F44" s="2">
        <v>9127665406</v>
      </c>
      <c r="G44" s="2" t="s">
        <v>478</v>
      </c>
      <c r="H44" s="4">
        <v>44760</v>
      </c>
      <c r="I44" s="2" t="s">
        <v>479</v>
      </c>
      <c r="J44" s="2" t="s">
        <v>583</v>
      </c>
      <c r="K44" s="2" t="s">
        <v>584</v>
      </c>
    </row>
    <row r="45" spans="1:11" x14ac:dyDescent="0.3">
      <c r="A45" s="2" t="s">
        <v>132</v>
      </c>
      <c r="B45" s="2" t="s">
        <v>552</v>
      </c>
      <c r="C45" s="2" t="s">
        <v>516</v>
      </c>
      <c r="D45" s="2" t="s">
        <v>477</v>
      </c>
      <c r="E45" s="4">
        <v>27830</v>
      </c>
      <c r="F45" s="2">
        <v>9449458981</v>
      </c>
      <c r="G45" s="2" t="s">
        <v>484</v>
      </c>
      <c r="H45" s="4">
        <v>44952</v>
      </c>
      <c r="I45" s="2" t="s">
        <v>485</v>
      </c>
      <c r="J45" s="2" t="s">
        <v>585</v>
      </c>
      <c r="K45" s="2" t="s">
        <v>586</v>
      </c>
    </row>
    <row r="46" spans="1:11" x14ac:dyDescent="0.3">
      <c r="A46" s="2" t="s">
        <v>21</v>
      </c>
      <c r="B46" s="2" t="s">
        <v>504</v>
      </c>
      <c r="C46" s="2" t="s">
        <v>536</v>
      </c>
      <c r="D46" s="2" t="s">
        <v>477</v>
      </c>
      <c r="E46" s="4">
        <v>24222</v>
      </c>
      <c r="F46" s="2">
        <v>7579616535</v>
      </c>
      <c r="G46" s="2" t="s">
        <v>484</v>
      </c>
      <c r="H46" s="4">
        <v>44219</v>
      </c>
      <c r="I46" s="2" t="s">
        <v>500</v>
      </c>
      <c r="J46" s="2" t="s">
        <v>587</v>
      </c>
      <c r="K46" s="2" t="s">
        <v>588</v>
      </c>
    </row>
    <row r="47" spans="1:11" x14ac:dyDescent="0.3">
      <c r="A47" s="2" t="s">
        <v>65</v>
      </c>
      <c r="B47" s="2" t="s">
        <v>493</v>
      </c>
      <c r="C47" s="2" t="s">
        <v>516</v>
      </c>
      <c r="D47" s="2" t="s">
        <v>477</v>
      </c>
      <c r="E47" s="4">
        <v>31656</v>
      </c>
      <c r="F47" s="2">
        <v>8019925828</v>
      </c>
      <c r="G47" s="2" t="s">
        <v>511</v>
      </c>
      <c r="H47" s="4">
        <v>44408</v>
      </c>
      <c r="I47" s="2" t="s">
        <v>500</v>
      </c>
      <c r="J47" s="2" t="s">
        <v>589</v>
      </c>
      <c r="K47" s="2" t="s">
        <v>518</v>
      </c>
    </row>
    <row r="48" spans="1:11" x14ac:dyDescent="0.3">
      <c r="A48" s="2" t="s">
        <v>59</v>
      </c>
      <c r="B48" s="2" t="s">
        <v>531</v>
      </c>
      <c r="C48" s="2" t="s">
        <v>539</v>
      </c>
      <c r="D48" s="2" t="s">
        <v>490</v>
      </c>
      <c r="E48" s="4">
        <v>35046</v>
      </c>
      <c r="F48" s="2">
        <v>8715732851</v>
      </c>
      <c r="G48" s="2" t="s">
        <v>484</v>
      </c>
      <c r="H48" s="4">
        <v>44701</v>
      </c>
      <c r="I48" s="2" t="s">
        <v>479</v>
      </c>
      <c r="J48" s="2" t="s">
        <v>590</v>
      </c>
      <c r="K48" s="2" t="s">
        <v>541</v>
      </c>
    </row>
    <row r="49" spans="1:11" x14ac:dyDescent="0.3">
      <c r="A49" s="2" t="s">
        <v>10</v>
      </c>
      <c r="B49" s="2" t="s">
        <v>482</v>
      </c>
      <c r="C49" s="2" t="s">
        <v>536</v>
      </c>
      <c r="D49" s="2" t="s">
        <v>490</v>
      </c>
      <c r="E49" s="4">
        <v>30399</v>
      </c>
      <c r="F49" s="2">
        <v>8720989381</v>
      </c>
      <c r="G49" s="2" t="s">
        <v>495</v>
      </c>
      <c r="H49" s="4">
        <v>45096</v>
      </c>
      <c r="I49" s="2" t="s">
        <v>485</v>
      </c>
      <c r="J49" s="2" t="s">
        <v>591</v>
      </c>
      <c r="K49" s="2" t="s">
        <v>592</v>
      </c>
    </row>
    <row r="50" spans="1:11" x14ac:dyDescent="0.3">
      <c r="A50" s="2" t="s">
        <v>61</v>
      </c>
      <c r="B50" s="2" t="s">
        <v>475</v>
      </c>
      <c r="C50" s="2" t="s">
        <v>539</v>
      </c>
      <c r="D50" s="2" t="s">
        <v>490</v>
      </c>
      <c r="E50" s="4">
        <v>26629</v>
      </c>
      <c r="F50" s="2">
        <v>7712937941</v>
      </c>
      <c r="G50" s="2" t="s">
        <v>484</v>
      </c>
      <c r="H50" s="4">
        <v>45091</v>
      </c>
      <c r="I50" s="2" t="s">
        <v>500</v>
      </c>
      <c r="J50" s="2" t="s">
        <v>593</v>
      </c>
      <c r="K50" s="2" t="s">
        <v>594</v>
      </c>
    </row>
    <row r="51" spans="1:11" x14ac:dyDescent="0.3">
      <c r="A51" s="2" t="s">
        <v>116</v>
      </c>
      <c r="B51" s="2" t="s">
        <v>488</v>
      </c>
      <c r="C51" s="2" t="s">
        <v>499</v>
      </c>
      <c r="D51" s="2" t="s">
        <v>490</v>
      </c>
      <c r="E51" s="4">
        <v>34330</v>
      </c>
      <c r="F51" s="2">
        <v>8301134730</v>
      </c>
      <c r="G51" s="2" t="s">
        <v>484</v>
      </c>
      <c r="H51" s="4">
        <v>45044</v>
      </c>
      <c r="I51" s="2" t="s">
        <v>479</v>
      </c>
      <c r="J51" s="2" t="s">
        <v>595</v>
      </c>
      <c r="K51" s="2" t="s">
        <v>535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D0846-B502-49C6-8617-5B2BDA109573}">
  <dimension ref="A1:I11"/>
  <sheetViews>
    <sheetView workbookViewId="0">
      <selection activeCell="E25" sqref="E25"/>
    </sheetView>
  </sheetViews>
  <sheetFormatPr defaultRowHeight="14.4" x14ac:dyDescent="0.3"/>
  <cols>
    <col min="2" max="2" width="9.77734375" bestFit="1" customWidth="1"/>
    <col min="3" max="3" width="9.44140625" bestFit="1" customWidth="1"/>
    <col min="4" max="4" width="9.44140625" customWidth="1"/>
    <col min="5" max="5" width="12" bestFit="1" customWidth="1"/>
    <col min="6" max="6" width="13.44140625" bestFit="1" customWidth="1"/>
    <col min="7" max="7" width="15.33203125" bestFit="1" customWidth="1"/>
    <col min="8" max="8" width="14.109375" bestFit="1" customWidth="1"/>
    <col min="9" max="9" width="25.77734375" bestFit="1" customWidth="1"/>
  </cols>
  <sheetData>
    <row r="1" spans="1:9" x14ac:dyDescent="0.3">
      <c r="A1" s="3" t="s">
        <v>826</v>
      </c>
      <c r="B1" s="3" t="s">
        <v>835</v>
      </c>
      <c r="C1" s="3" t="s">
        <v>836</v>
      </c>
      <c r="D1" s="3" t="s">
        <v>850</v>
      </c>
      <c r="E1" s="3" t="s">
        <v>845</v>
      </c>
      <c r="F1" s="3" t="s">
        <v>846</v>
      </c>
      <c r="G1" s="3" t="s">
        <v>847</v>
      </c>
      <c r="H1" s="3" t="s">
        <v>848</v>
      </c>
      <c r="I1" s="3" t="s">
        <v>844</v>
      </c>
    </row>
    <row r="2" spans="1:9" x14ac:dyDescent="0.3">
      <c r="A2" s="2" t="s">
        <v>52</v>
      </c>
      <c r="B2" s="2" t="s">
        <v>475</v>
      </c>
      <c r="C2" s="2" t="s">
        <v>516</v>
      </c>
      <c r="D2" s="2" t="str">
        <f>_xlfn.CONCAT(B2," ",C2)</f>
        <v>David Taylor</v>
      </c>
      <c r="E2" s="2" t="s">
        <v>596</v>
      </c>
      <c r="F2" s="2">
        <v>8322010158</v>
      </c>
      <c r="G2" s="2">
        <v>17</v>
      </c>
      <c r="H2" s="2" t="s">
        <v>597</v>
      </c>
      <c r="I2" s="2" t="s">
        <v>598</v>
      </c>
    </row>
    <row r="3" spans="1:9" x14ac:dyDescent="0.3">
      <c r="A3" s="2" t="s">
        <v>41</v>
      </c>
      <c r="B3" s="2" t="s">
        <v>531</v>
      </c>
      <c r="C3" s="2" t="s">
        <v>510</v>
      </c>
      <c r="D3" s="2" t="str">
        <f t="shared" ref="D3:D11" si="0">_xlfn.CONCAT(B3," ",C3)</f>
        <v>Jane Davis</v>
      </c>
      <c r="E3" s="2" t="s">
        <v>599</v>
      </c>
      <c r="F3" s="2">
        <v>9004382050</v>
      </c>
      <c r="G3" s="2">
        <v>24</v>
      </c>
      <c r="H3" s="2" t="s">
        <v>600</v>
      </c>
      <c r="I3" s="2" t="s">
        <v>601</v>
      </c>
    </row>
    <row r="4" spans="1:9" x14ac:dyDescent="0.3">
      <c r="A4" s="2" t="s">
        <v>18</v>
      </c>
      <c r="B4" s="2" t="s">
        <v>531</v>
      </c>
      <c r="C4" s="2" t="s">
        <v>483</v>
      </c>
      <c r="D4" s="2" t="str">
        <f t="shared" si="0"/>
        <v>Jane Smith</v>
      </c>
      <c r="E4" s="2" t="s">
        <v>599</v>
      </c>
      <c r="F4" s="2">
        <v>8737740598</v>
      </c>
      <c r="G4" s="2">
        <v>19</v>
      </c>
      <c r="H4" s="2" t="s">
        <v>600</v>
      </c>
      <c r="I4" s="2" t="s">
        <v>602</v>
      </c>
    </row>
    <row r="5" spans="1:9" x14ac:dyDescent="0.3">
      <c r="A5" s="2" t="s">
        <v>7</v>
      </c>
      <c r="B5" s="2" t="s">
        <v>475</v>
      </c>
      <c r="C5" s="2" t="s">
        <v>489</v>
      </c>
      <c r="D5" s="2" t="str">
        <f t="shared" si="0"/>
        <v>David Jones</v>
      </c>
      <c r="E5" s="2" t="s">
        <v>599</v>
      </c>
      <c r="F5" s="2">
        <v>6594221991</v>
      </c>
      <c r="G5" s="2">
        <v>28</v>
      </c>
      <c r="H5" s="2" t="s">
        <v>603</v>
      </c>
      <c r="I5" s="2" t="s">
        <v>604</v>
      </c>
    </row>
    <row r="6" spans="1:9" x14ac:dyDescent="0.3">
      <c r="A6" s="2" t="s">
        <v>67</v>
      </c>
      <c r="B6" s="2" t="s">
        <v>527</v>
      </c>
      <c r="C6" s="2" t="s">
        <v>516</v>
      </c>
      <c r="D6" s="2" t="str">
        <f t="shared" si="0"/>
        <v>Sarah Taylor</v>
      </c>
      <c r="E6" s="2" t="s">
        <v>596</v>
      </c>
      <c r="F6" s="2">
        <v>9118538547</v>
      </c>
      <c r="G6" s="2">
        <v>26</v>
      </c>
      <c r="H6" s="2" t="s">
        <v>603</v>
      </c>
      <c r="I6" s="2" t="s">
        <v>605</v>
      </c>
    </row>
    <row r="7" spans="1:9" x14ac:dyDescent="0.3">
      <c r="A7" s="2" t="s">
        <v>15</v>
      </c>
      <c r="B7" s="2" t="s">
        <v>507</v>
      </c>
      <c r="C7" s="2" t="s">
        <v>510</v>
      </c>
      <c r="D7" s="2" t="str">
        <f t="shared" si="0"/>
        <v>Alex Davis</v>
      </c>
      <c r="E7" s="2" t="s">
        <v>599</v>
      </c>
      <c r="F7" s="2">
        <v>6570137231</v>
      </c>
      <c r="G7" s="2">
        <v>23</v>
      </c>
      <c r="H7" s="2" t="s">
        <v>603</v>
      </c>
      <c r="I7" s="2" t="s">
        <v>606</v>
      </c>
    </row>
    <row r="8" spans="1:9" x14ac:dyDescent="0.3">
      <c r="A8" s="2" t="s">
        <v>25</v>
      </c>
      <c r="B8" s="2" t="s">
        <v>552</v>
      </c>
      <c r="C8" s="2" t="s">
        <v>510</v>
      </c>
      <c r="D8" s="2" t="str">
        <f t="shared" si="0"/>
        <v>Robert Davis</v>
      </c>
      <c r="E8" s="2" t="s">
        <v>607</v>
      </c>
      <c r="F8" s="2">
        <v>8217493115</v>
      </c>
      <c r="G8" s="2">
        <v>26</v>
      </c>
      <c r="H8" s="2" t="s">
        <v>597</v>
      </c>
      <c r="I8" s="2" t="s">
        <v>608</v>
      </c>
    </row>
    <row r="9" spans="1:9" x14ac:dyDescent="0.3">
      <c r="A9" s="2" t="s">
        <v>47</v>
      </c>
      <c r="B9" s="2" t="s">
        <v>504</v>
      </c>
      <c r="C9" s="2" t="s">
        <v>545</v>
      </c>
      <c r="D9" s="2" t="str">
        <f t="shared" si="0"/>
        <v>Linda Brown</v>
      </c>
      <c r="E9" s="2" t="s">
        <v>596</v>
      </c>
      <c r="F9" s="2">
        <v>9069162601</v>
      </c>
      <c r="G9" s="2">
        <v>5</v>
      </c>
      <c r="H9" s="2" t="s">
        <v>597</v>
      </c>
      <c r="I9" s="2" t="s">
        <v>609</v>
      </c>
    </row>
    <row r="10" spans="1:9" x14ac:dyDescent="0.3">
      <c r="A10" s="2" t="s">
        <v>2</v>
      </c>
      <c r="B10" s="2" t="s">
        <v>527</v>
      </c>
      <c r="C10" s="2" t="s">
        <v>483</v>
      </c>
      <c r="D10" s="2" t="str">
        <f t="shared" si="0"/>
        <v>Sarah Smith</v>
      </c>
      <c r="E10" s="2" t="s">
        <v>599</v>
      </c>
      <c r="F10" s="2">
        <v>7387087517</v>
      </c>
      <c r="G10" s="2">
        <v>26</v>
      </c>
      <c r="H10" s="2" t="s">
        <v>603</v>
      </c>
      <c r="I10" s="2" t="s">
        <v>610</v>
      </c>
    </row>
    <row r="11" spans="1:9" x14ac:dyDescent="0.3">
      <c r="A11" s="2" t="s">
        <v>28</v>
      </c>
      <c r="B11" s="2" t="s">
        <v>504</v>
      </c>
      <c r="C11" s="2" t="s">
        <v>499</v>
      </c>
      <c r="D11" s="2" t="str">
        <f t="shared" si="0"/>
        <v>Linda Wilson</v>
      </c>
      <c r="E11" s="2" t="s">
        <v>607</v>
      </c>
      <c r="F11" s="2">
        <v>6176383634</v>
      </c>
      <c r="G11" s="2">
        <v>21</v>
      </c>
      <c r="H11" s="2" t="s">
        <v>600</v>
      </c>
      <c r="I11" s="2" t="s">
        <v>611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1C57E-D113-4DFF-94A6-D742549BC421}">
  <dimension ref="A3:C20"/>
  <sheetViews>
    <sheetView workbookViewId="0">
      <selection activeCell="I26" sqref="I26"/>
    </sheetView>
  </sheetViews>
  <sheetFormatPr defaultRowHeight="14.4" x14ac:dyDescent="0.3"/>
  <sheetData>
    <row r="3" spans="1:3" x14ac:dyDescent="0.3">
      <c r="A3" s="8"/>
      <c r="B3" s="9"/>
      <c r="C3" s="10"/>
    </row>
    <row r="4" spans="1:3" x14ac:dyDescent="0.3">
      <c r="A4" s="11"/>
      <c r="B4" s="12"/>
      <c r="C4" s="13"/>
    </row>
    <row r="5" spans="1:3" x14ac:dyDescent="0.3">
      <c r="A5" s="11"/>
      <c r="B5" s="12"/>
      <c r="C5" s="13"/>
    </row>
    <row r="6" spans="1:3" x14ac:dyDescent="0.3">
      <c r="A6" s="11"/>
      <c r="B6" s="12"/>
      <c r="C6" s="13"/>
    </row>
    <row r="7" spans="1:3" x14ac:dyDescent="0.3">
      <c r="A7" s="11"/>
      <c r="B7" s="12"/>
      <c r="C7" s="13"/>
    </row>
    <row r="8" spans="1:3" x14ac:dyDescent="0.3">
      <c r="A8" s="11"/>
      <c r="B8" s="12"/>
      <c r="C8" s="13"/>
    </row>
    <row r="9" spans="1:3" x14ac:dyDescent="0.3">
      <c r="A9" s="11"/>
      <c r="B9" s="12"/>
      <c r="C9" s="13"/>
    </row>
    <row r="10" spans="1:3" x14ac:dyDescent="0.3">
      <c r="A10" s="11"/>
      <c r="B10" s="12"/>
      <c r="C10" s="13"/>
    </row>
    <row r="11" spans="1:3" x14ac:dyDescent="0.3">
      <c r="A11" s="11"/>
      <c r="B11" s="12"/>
      <c r="C11" s="13"/>
    </row>
    <row r="12" spans="1:3" x14ac:dyDescent="0.3">
      <c r="A12" s="11"/>
      <c r="B12" s="12"/>
      <c r="C12" s="13"/>
    </row>
    <row r="13" spans="1:3" x14ac:dyDescent="0.3">
      <c r="A13" s="11"/>
      <c r="B13" s="12"/>
      <c r="C13" s="13"/>
    </row>
    <row r="14" spans="1:3" x14ac:dyDescent="0.3">
      <c r="A14" s="11"/>
      <c r="B14" s="12"/>
      <c r="C14" s="13"/>
    </row>
    <row r="15" spans="1:3" x14ac:dyDescent="0.3">
      <c r="A15" s="11"/>
      <c r="B15" s="12"/>
      <c r="C15" s="13"/>
    </row>
    <row r="16" spans="1:3" x14ac:dyDescent="0.3">
      <c r="A16" s="11"/>
      <c r="B16" s="12"/>
      <c r="C16" s="13"/>
    </row>
    <row r="17" spans="1:3" x14ac:dyDescent="0.3">
      <c r="A17" s="11"/>
      <c r="B17" s="12"/>
      <c r="C17" s="13"/>
    </row>
    <row r="18" spans="1:3" x14ac:dyDescent="0.3">
      <c r="A18" s="11"/>
      <c r="B18" s="12"/>
      <c r="C18" s="13"/>
    </row>
    <row r="19" spans="1:3" x14ac:dyDescent="0.3">
      <c r="A19" s="11"/>
      <c r="B19" s="12"/>
      <c r="C19" s="13"/>
    </row>
    <row r="20" spans="1:3" x14ac:dyDescent="0.3">
      <c r="A20" s="14"/>
      <c r="B20" s="15"/>
      <c r="C20" s="1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55CAA-ED63-4D6C-A3C7-F0D364B92D97}">
  <dimension ref="A1:H201"/>
  <sheetViews>
    <sheetView zoomScale="110" zoomScaleNormal="110" workbookViewId="0">
      <selection activeCell="D7" sqref="D7"/>
    </sheetView>
  </sheetViews>
  <sheetFormatPr defaultColWidth="9.77734375" defaultRowHeight="14.4" x14ac:dyDescent="0.3"/>
  <cols>
    <col min="1" max="1" width="15" bestFit="1" customWidth="1"/>
    <col min="2" max="2" width="9.6640625" bestFit="1" customWidth="1"/>
    <col min="3" max="3" width="9.33203125" bestFit="1" customWidth="1"/>
    <col min="4" max="4" width="12.109375" bestFit="1" customWidth="1"/>
    <col min="5" max="5" width="17.33203125" bestFit="1" customWidth="1"/>
    <col min="6" max="6" width="17.5546875" bestFit="1" customWidth="1"/>
    <col min="7" max="7" width="15.44140625" bestFit="1" customWidth="1"/>
    <col min="8" max="8" width="9.88671875" bestFit="1" customWidth="1"/>
    <col min="11" max="11" width="11.77734375" bestFit="1" customWidth="1"/>
  </cols>
  <sheetData>
    <row r="1" spans="1:8" x14ac:dyDescent="0.3">
      <c r="A1" s="3" t="s">
        <v>825</v>
      </c>
      <c r="B1" s="3" t="s">
        <v>819</v>
      </c>
      <c r="C1" s="3" t="s">
        <v>826</v>
      </c>
      <c r="D1" s="3" t="s">
        <v>851</v>
      </c>
      <c r="E1" s="3" t="s">
        <v>827</v>
      </c>
      <c r="F1" s="3" t="s">
        <v>828</v>
      </c>
      <c r="G1" s="3" t="s">
        <v>829</v>
      </c>
      <c r="H1" s="3" t="s">
        <v>830</v>
      </c>
    </row>
    <row r="2" spans="1:8" x14ac:dyDescent="0.3">
      <c r="A2" s="2" t="s">
        <v>0</v>
      </c>
      <c r="B2" s="2" t="s">
        <v>1</v>
      </c>
      <c r="C2" s="2" t="s">
        <v>2</v>
      </c>
      <c r="D2" s="2" t="str">
        <f>_xlfn.XLOOKUP(C2,Doctor!$A$1:$A$11,Doctor!$D$1:$D$11)</f>
        <v>Sarah Smith</v>
      </c>
      <c r="E2" s="4">
        <v>45147</v>
      </c>
      <c r="F2" s="1">
        <v>0.63541666666666663</v>
      </c>
      <c r="G2" s="2" t="s">
        <v>3</v>
      </c>
      <c r="H2" s="2" t="s">
        <v>4</v>
      </c>
    </row>
    <row r="3" spans="1:8" x14ac:dyDescent="0.3">
      <c r="A3" s="2" t="s">
        <v>5</v>
      </c>
      <c r="B3" s="2" t="s">
        <v>6</v>
      </c>
      <c r="C3" s="2" t="s">
        <v>7</v>
      </c>
      <c r="D3" s="2" t="str">
        <f>_xlfn.XLOOKUP(C3,Doctor!$A$1:$A$11,Doctor!$D$1:$D$11)</f>
        <v>David Jones</v>
      </c>
      <c r="E3" s="4">
        <v>45086</v>
      </c>
      <c r="F3" s="1">
        <v>0.60416666666666663</v>
      </c>
      <c r="G3" s="2" t="s">
        <v>3</v>
      </c>
      <c r="H3" s="2" t="s">
        <v>8</v>
      </c>
    </row>
    <row r="4" spans="1:8" x14ac:dyDescent="0.3">
      <c r="A4" s="2" t="s">
        <v>9</v>
      </c>
      <c r="B4" s="2" t="s">
        <v>10</v>
      </c>
      <c r="C4" s="2" t="s">
        <v>7</v>
      </c>
      <c r="D4" s="2" t="str">
        <f>_xlfn.XLOOKUP(C4,Doctor!$A$1:$A$11,Doctor!$D$1:$D$11)</f>
        <v>David Jones</v>
      </c>
      <c r="E4" s="4">
        <v>45105</v>
      </c>
      <c r="F4" s="1">
        <v>0.33333333333333331</v>
      </c>
      <c r="G4" s="2" t="s">
        <v>11</v>
      </c>
      <c r="H4" s="2" t="s">
        <v>12</v>
      </c>
    </row>
    <row r="5" spans="1:8" x14ac:dyDescent="0.3">
      <c r="A5" s="2" t="s">
        <v>13</v>
      </c>
      <c r="B5" s="2" t="s">
        <v>14</v>
      </c>
      <c r="C5" s="2" t="s">
        <v>15</v>
      </c>
      <c r="D5" s="2" t="str">
        <f>_xlfn.XLOOKUP(C5,Doctor!$A$1:$A$11,Doctor!$D$1:$D$11)</f>
        <v>Alex Davis</v>
      </c>
      <c r="E5" s="4">
        <v>45170</v>
      </c>
      <c r="F5" s="1">
        <v>0.38541666666666669</v>
      </c>
      <c r="G5" s="2" t="s">
        <v>11</v>
      </c>
      <c r="H5" s="2" t="s">
        <v>12</v>
      </c>
    </row>
    <row r="6" spans="1:8" x14ac:dyDescent="0.3">
      <c r="A6" s="2" t="s">
        <v>16</v>
      </c>
      <c r="B6" s="2" t="s">
        <v>17</v>
      </c>
      <c r="C6" s="2" t="s">
        <v>18</v>
      </c>
      <c r="D6" s="2" t="str">
        <f>_xlfn.XLOOKUP(C6,Doctor!$A$1:$A$11,Doctor!$D$1:$D$11)</f>
        <v>Jane Smith</v>
      </c>
      <c r="E6" s="4">
        <v>45113</v>
      </c>
      <c r="F6" s="1">
        <v>0.53125</v>
      </c>
      <c r="G6" s="2" t="s">
        <v>19</v>
      </c>
      <c r="H6" s="2" t="s">
        <v>8</v>
      </c>
    </row>
    <row r="7" spans="1:8" x14ac:dyDescent="0.3">
      <c r="A7" s="2" t="s">
        <v>20</v>
      </c>
      <c r="B7" s="2" t="s">
        <v>21</v>
      </c>
      <c r="C7" s="2" t="s">
        <v>15</v>
      </c>
      <c r="D7" s="2" t="str">
        <f>_xlfn.XLOOKUP(C7,Doctor!$A$1:$A$11,Doctor!$D$1:$D$11)</f>
        <v>Alex Davis</v>
      </c>
      <c r="E7" s="4">
        <v>45096</v>
      </c>
      <c r="F7" s="1">
        <v>0.67708333333333337</v>
      </c>
      <c r="G7" s="2" t="s">
        <v>22</v>
      </c>
      <c r="H7" s="2" t="s">
        <v>4</v>
      </c>
    </row>
    <row r="8" spans="1:8" x14ac:dyDescent="0.3">
      <c r="A8" s="2" t="s">
        <v>23</v>
      </c>
      <c r="B8" s="2" t="s">
        <v>24</v>
      </c>
      <c r="C8" s="2" t="s">
        <v>25</v>
      </c>
      <c r="D8" s="2" t="str">
        <f>_xlfn.XLOOKUP(C8,Doctor!$A$1:$A$11,Doctor!$D$1:$D$11)</f>
        <v>Robert Davis</v>
      </c>
      <c r="E8" s="4">
        <v>45025</v>
      </c>
      <c r="F8" s="1">
        <v>0.4375</v>
      </c>
      <c r="G8" s="2" t="s">
        <v>11</v>
      </c>
      <c r="H8" s="2" t="s">
        <v>4</v>
      </c>
    </row>
    <row r="9" spans="1:8" x14ac:dyDescent="0.3">
      <c r="A9" s="2" t="s">
        <v>26</v>
      </c>
      <c r="B9" s="2" t="s">
        <v>27</v>
      </c>
      <c r="C9" s="2" t="s">
        <v>28</v>
      </c>
      <c r="D9" s="2" t="str">
        <f>_xlfn.XLOOKUP(C9,Doctor!$A$1:$A$11,Doctor!$D$1:$D$11)</f>
        <v>Linda Wilson</v>
      </c>
      <c r="E9" s="4">
        <v>45070</v>
      </c>
      <c r="F9" s="1">
        <v>0.36458333333333331</v>
      </c>
      <c r="G9" s="2" t="s">
        <v>11</v>
      </c>
      <c r="H9" s="2" t="s">
        <v>12</v>
      </c>
    </row>
    <row r="10" spans="1:8" x14ac:dyDescent="0.3">
      <c r="A10" s="2" t="s">
        <v>29</v>
      </c>
      <c r="B10" s="2" t="s">
        <v>30</v>
      </c>
      <c r="C10" s="2" t="s">
        <v>28</v>
      </c>
      <c r="D10" s="2" t="str">
        <f>_xlfn.XLOOKUP(C10,Doctor!$A$1:$A$11,Doctor!$D$1:$D$11)</f>
        <v>Linda Wilson</v>
      </c>
      <c r="E10" s="4">
        <v>44990</v>
      </c>
      <c r="F10" s="1">
        <v>0.57291666666666663</v>
      </c>
      <c r="G10" s="2" t="s">
        <v>31</v>
      </c>
      <c r="H10" s="2" t="s">
        <v>4</v>
      </c>
    </row>
    <row r="11" spans="1:8" x14ac:dyDescent="0.3">
      <c r="A11" s="2" t="s">
        <v>32</v>
      </c>
      <c r="B11" s="2" t="s">
        <v>33</v>
      </c>
      <c r="C11" s="2" t="s">
        <v>18</v>
      </c>
      <c r="D11" s="2" t="str">
        <f>_xlfn.XLOOKUP(C11,Doctor!$A$1:$A$11,Doctor!$D$1:$D$11)</f>
        <v>Jane Smith</v>
      </c>
      <c r="E11" s="4">
        <v>44939</v>
      </c>
      <c r="F11" s="1">
        <v>0.64583333333333337</v>
      </c>
      <c r="G11" s="2" t="s">
        <v>3</v>
      </c>
      <c r="H11" s="2" t="s">
        <v>34</v>
      </c>
    </row>
    <row r="12" spans="1:8" x14ac:dyDescent="0.3">
      <c r="A12" s="2" t="s">
        <v>35</v>
      </c>
      <c r="B12" s="2" t="s">
        <v>36</v>
      </c>
      <c r="C12" s="2" t="s">
        <v>25</v>
      </c>
      <c r="D12" s="2" t="str">
        <f>_xlfn.XLOOKUP(C12,Doctor!$A$1:$A$11,Doctor!$D$1:$D$11)</f>
        <v>Robert Davis</v>
      </c>
      <c r="E12" s="4">
        <v>45242</v>
      </c>
      <c r="F12" s="1">
        <v>0.66666666666666663</v>
      </c>
      <c r="G12" s="2" t="s">
        <v>22</v>
      </c>
      <c r="H12" s="2" t="s">
        <v>8</v>
      </c>
    </row>
    <row r="13" spans="1:8" x14ac:dyDescent="0.3">
      <c r="A13" s="2" t="s">
        <v>37</v>
      </c>
      <c r="B13" s="2" t="s">
        <v>38</v>
      </c>
      <c r="C13" s="2" t="s">
        <v>18</v>
      </c>
      <c r="D13" s="2" t="str">
        <f>_xlfn.XLOOKUP(C13,Doctor!$A$1:$A$11,Doctor!$D$1:$D$11)</f>
        <v>Jane Smith</v>
      </c>
      <c r="E13" s="4">
        <v>45053</v>
      </c>
      <c r="F13" s="1">
        <v>0.41666666666666669</v>
      </c>
      <c r="G13" s="2" t="s">
        <v>31</v>
      </c>
      <c r="H13" s="2" t="s">
        <v>34</v>
      </c>
    </row>
    <row r="14" spans="1:8" x14ac:dyDescent="0.3">
      <c r="A14" s="2" t="s">
        <v>39</v>
      </c>
      <c r="B14" s="2" t="s">
        <v>40</v>
      </c>
      <c r="C14" s="2" t="s">
        <v>41</v>
      </c>
      <c r="D14" s="2" t="str">
        <f>_xlfn.XLOOKUP(C14,Doctor!$A$1:$A$11,Doctor!$D$1:$D$11)</f>
        <v>Jane Davis</v>
      </c>
      <c r="E14" s="4">
        <v>45154</v>
      </c>
      <c r="F14" s="1">
        <v>0.5</v>
      </c>
      <c r="G14" s="2" t="s">
        <v>19</v>
      </c>
      <c r="H14" s="2" t="s">
        <v>4</v>
      </c>
    </row>
    <row r="15" spans="1:8" x14ac:dyDescent="0.3">
      <c r="A15" s="2" t="s">
        <v>42</v>
      </c>
      <c r="B15" s="2" t="s">
        <v>43</v>
      </c>
      <c r="C15" s="2" t="s">
        <v>28</v>
      </c>
      <c r="D15" s="2" t="str">
        <f>_xlfn.XLOOKUP(C15,Doctor!$A$1:$A$11,Doctor!$D$1:$D$11)</f>
        <v>Linda Wilson</v>
      </c>
      <c r="E15" s="4">
        <v>45071</v>
      </c>
      <c r="F15" s="1">
        <v>0.4375</v>
      </c>
      <c r="G15" s="2" t="s">
        <v>19</v>
      </c>
      <c r="H15" s="2" t="s">
        <v>12</v>
      </c>
    </row>
    <row r="16" spans="1:8" x14ac:dyDescent="0.3">
      <c r="A16" s="2" t="s">
        <v>44</v>
      </c>
      <c r="B16" s="2" t="s">
        <v>45</v>
      </c>
      <c r="C16" s="2" t="s">
        <v>7</v>
      </c>
      <c r="D16" s="2" t="str">
        <f>_xlfn.XLOOKUP(C16,Doctor!$A$1:$A$11,Doctor!$D$1:$D$11)</f>
        <v>David Jones</v>
      </c>
      <c r="E16" s="4">
        <v>44941</v>
      </c>
      <c r="F16" s="1">
        <v>0.71875</v>
      </c>
      <c r="G16" s="2" t="s">
        <v>11</v>
      </c>
      <c r="H16" s="2" t="s">
        <v>8</v>
      </c>
    </row>
    <row r="17" spans="1:8" x14ac:dyDescent="0.3">
      <c r="A17" s="2" t="s">
        <v>46</v>
      </c>
      <c r="B17" s="2" t="s">
        <v>27</v>
      </c>
      <c r="C17" s="2" t="s">
        <v>47</v>
      </c>
      <c r="D17" s="2" t="str">
        <f>_xlfn.XLOOKUP(C17,Doctor!$A$1:$A$11,Doctor!$D$1:$D$11)</f>
        <v>Linda Brown</v>
      </c>
      <c r="E17" s="4">
        <v>45107</v>
      </c>
      <c r="F17" s="1">
        <v>0.45833333333333331</v>
      </c>
      <c r="G17" s="2" t="s">
        <v>11</v>
      </c>
      <c r="H17" s="2" t="s">
        <v>4</v>
      </c>
    </row>
    <row r="18" spans="1:8" x14ac:dyDescent="0.3">
      <c r="A18" s="2" t="s">
        <v>48</v>
      </c>
      <c r="B18" s="2" t="s">
        <v>49</v>
      </c>
      <c r="C18" s="2" t="s">
        <v>2</v>
      </c>
      <c r="D18" s="2" t="str">
        <f>_xlfn.XLOOKUP(C18,Doctor!$A$1:$A$11,Doctor!$D$1:$D$11)</f>
        <v>Sarah Smith</v>
      </c>
      <c r="E18" s="4">
        <v>45118</v>
      </c>
      <c r="F18" s="1">
        <v>0.70833333333333337</v>
      </c>
      <c r="G18" s="2" t="s">
        <v>19</v>
      </c>
      <c r="H18" s="2" t="s">
        <v>4</v>
      </c>
    </row>
    <row r="19" spans="1:8" x14ac:dyDescent="0.3">
      <c r="A19" s="2" t="s">
        <v>50</v>
      </c>
      <c r="B19" s="2" t="s">
        <v>36</v>
      </c>
      <c r="C19" s="2" t="s">
        <v>25</v>
      </c>
      <c r="D19" s="2" t="str">
        <f>_xlfn.XLOOKUP(C19,Doctor!$A$1:$A$11,Doctor!$D$1:$D$11)</f>
        <v>Robert Davis</v>
      </c>
      <c r="E19" s="4">
        <v>45244</v>
      </c>
      <c r="F19" s="1">
        <v>0.40625</v>
      </c>
      <c r="G19" s="2" t="s">
        <v>11</v>
      </c>
      <c r="H19" s="2" t="s">
        <v>12</v>
      </c>
    </row>
    <row r="20" spans="1:8" x14ac:dyDescent="0.3">
      <c r="A20" s="2" t="s">
        <v>51</v>
      </c>
      <c r="B20" s="2" t="s">
        <v>38</v>
      </c>
      <c r="C20" s="2" t="s">
        <v>52</v>
      </c>
      <c r="D20" s="2" t="str">
        <f>_xlfn.XLOOKUP(C20,Doctor!$A$1:$A$11,Doctor!$D$1:$D$11)</f>
        <v>David Taylor</v>
      </c>
      <c r="E20" s="4">
        <v>44963</v>
      </c>
      <c r="F20" s="1">
        <v>0.64583333333333337</v>
      </c>
      <c r="G20" s="2" t="s">
        <v>22</v>
      </c>
      <c r="H20" s="2" t="s">
        <v>12</v>
      </c>
    </row>
    <row r="21" spans="1:8" x14ac:dyDescent="0.3">
      <c r="A21" s="2" t="s">
        <v>53</v>
      </c>
      <c r="B21" s="2" t="s">
        <v>54</v>
      </c>
      <c r="C21" s="2" t="s">
        <v>18</v>
      </c>
      <c r="D21" s="2" t="str">
        <f>_xlfn.XLOOKUP(C21,Doctor!$A$1:$A$11,Doctor!$D$1:$D$11)</f>
        <v>Jane Smith</v>
      </c>
      <c r="E21" s="4">
        <v>45265</v>
      </c>
      <c r="F21" s="1">
        <v>0.63541666666666663</v>
      </c>
      <c r="G21" s="2" t="s">
        <v>11</v>
      </c>
      <c r="H21" s="2" t="s">
        <v>34</v>
      </c>
    </row>
    <row r="22" spans="1:8" x14ac:dyDescent="0.3">
      <c r="A22" s="2" t="s">
        <v>55</v>
      </c>
      <c r="B22" s="2" t="s">
        <v>56</v>
      </c>
      <c r="C22" s="2" t="s">
        <v>2</v>
      </c>
      <c r="D22" s="2" t="str">
        <f>_xlfn.XLOOKUP(C22,Doctor!$A$1:$A$11,Doctor!$D$1:$D$11)</f>
        <v>Sarah Smith</v>
      </c>
      <c r="E22" s="4">
        <v>45040</v>
      </c>
      <c r="F22" s="1">
        <v>0.41666666666666669</v>
      </c>
      <c r="G22" s="2" t="s">
        <v>3</v>
      </c>
      <c r="H22" s="2" t="s">
        <v>8</v>
      </c>
    </row>
    <row r="23" spans="1:8" x14ac:dyDescent="0.3">
      <c r="A23" s="2" t="s">
        <v>57</v>
      </c>
      <c r="B23" s="2" t="s">
        <v>33</v>
      </c>
      <c r="C23" s="2" t="s">
        <v>52</v>
      </c>
      <c r="D23" s="2" t="str">
        <f>_xlfn.XLOOKUP(C23,Doctor!$A$1:$A$11,Doctor!$D$1:$D$11)</f>
        <v>David Taylor</v>
      </c>
      <c r="E23" s="4">
        <v>45244</v>
      </c>
      <c r="F23" s="1">
        <v>0.54166666666666663</v>
      </c>
      <c r="G23" s="2" t="s">
        <v>11</v>
      </c>
      <c r="H23" s="2" t="s">
        <v>8</v>
      </c>
    </row>
    <row r="24" spans="1:8" x14ac:dyDescent="0.3">
      <c r="A24" s="2" t="s">
        <v>58</v>
      </c>
      <c r="B24" s="2" t="s">
        <v>59</v>
      </c>
      <c r="C24" s="2" t="s">
        <v>2</v>
      </c>
      <c r="D24" s="2" t="str">
        <f>_xlfn.XLOOKUP(C24,Doctor!$A$1:$A$11,Doctor!$D$1:$D$11)</f>
        <v>Sarah Smith</v>
      </c>
      <c r="E24" s="4">
        <v>45055</v>
      </c>
      <c r="F24" s="1">
        <v>0.60416666666666663</v>
      </c>
      <c r="G24" s="2" t="s">
        <v>31</v>
      </c>
      <c r="H24" s="2" t="s">
        <v>12</v>
      </c>
    </row>
    <row r="25" spans="1:8" x14ac:dyDescent="0.3">
      <c r="A25" s="2" t="s">
        <v>60</v>
      </c>
      <c r="B25" s="2" t="s">
        <v>61</v>
      </c>
      <c r="C25" s="2" t="s">
        <v>47</v>
      </c>
      <c r="D25" s="2" t="str">
        <f>_xlfn.XLOOKUP(C25,Doctor!$A$1:$A$11,Doctor!$D$1:$D$11)</f>
        <v>Linda Brown</v>
      </c>
      <c r="E25" s="4">
        <v>45098</v>
      </c>
      <c r="F25" s="1">
        <v>0.33333333333333331</v>
      </c>
      <c r="G25" s="2" t="s">
        <v>22</v>
      </c>
      <c r="H25" s="2" t="s">
        <v>34</v>
      </c>
    </row>
    <row r="26" spans="1:8" x14ac:dyDescent="0.3">
      <c r="A26" s="2" t="s">
        <v>62</v>
      </c>
      <c r="B26" s="2" t="s">
        <v>63</v>
      </c>
      <c r="C26" s="2" t="s">
        <v>52</v>
      </c>
      <c r="D26" s="2" t="str">
        <f>_xlfn.XLOOKUP(C26,Doctor!$A$1:$A$11,Doctor!$D$1:$D$11)</f>
        <v>David Taylor</v>
      </c>
      <c r="E26" s="4">
        <v>44982</v>
      </c>
      <c r="F26" s="1">
        <v>0.33333333333333331</v>
      </c>
      <c r="G26" s="2" t="s">
        <v>31</v>
      </c>
      <c r="H26" s="2" t="s">
        <v>8</v>
      </c>
    </row>
    <row r="27" spans="1:8" x14ac:dyDescent="0.3">
      <c r="A27" s="2" t="s">
        <v>64</v>
      </c>
      <c r="B27" s="2" t="s">
        <v>65</v>
      </c>
      <c r="C27" s="2" t="s">
        <v>15</v>
      </c>
      <c r="D27" s="2" t="str">
        <f>_xlfn.XLOOKUP(C27,Doctor!$A$1:$A$11,Doctor!$D$1:$D$11)</f>
        <v>Alex Davis</v>
      </c>
      <c r="E27" s="4">
        <v>45002</v>
      </c>
      <c r="F27" s="1">
        <v>0.59375</v>
      </c>
      <c r="G27" s="2" t="s">
        <v>31</v>
      </c>
      <c r="H27" s="2" t="s">
        <v>12</v>
      </c>
    </row>
    <row r="28" spans="1:8" x14ac:dyDescent="0.3">
      <c r="A28" s="2" t="s">
        <v>66</v>
      </c>
      <c r="B28" s="2" t="s">
        <v>33</v>
      </c>
      <c r="C28" s="2" t="s">
        <v>67</v>
      </c>
      <c r="D28" s="2" t="str">
        <f>_xlfn.XLOOKUP(C28,Doctor!$A$1:$A$11,Doctor!$D$1:$D$11)</f>
        <v>Sarah Taylor</v>
      </c>
      <c r="E28" s="4">
        <v>45244</v>
      </c>
      <c r="F28" s="1">
        <v>0.53125</v>
      </c>
      <c r="G28" s="2" t="s">
        <v>3</v>
      </c>
      <c r="H28" s="2" t="s">
        <v>4</v>
      </c>
    </row>
    <row r="29" spans="1:8" x14ac:dyDescent="0.3">
      <c r="A29" s="2" t="s">
        <v>68</v>
      </c>
      <c r="B29" s="2" t="s">
        <v>43</v>
      </c>
      <c r="C29" s="2" t="s">
        <v>15</v>
      </c>
      <c r="D29" s="2" t="str">
        <f>_xlfn.XLOOKUP(C29,Doctor!$A$1:$A$11,Doctor!$D$1:$D$11)</f>
        <v>Alex Davis</v>
      </c>
      <c r="E29" s="4">
        <v>45228</v>
      </c>
      <c r="F29" s="1">
        <v>0.64583333333333337</v>
      </c>
      <c r="G29" s="2" t="s">
        <v>22</v>
      </c>
      <c r="H29" s="2" t="s">
        <v>8</v>
      </c>
    </row>
    <row r="30" spans="1:8" x14ac:dyDescent="0.3">
      <c r="A30" s="2" t="s">
        <v>69</v>
      </c>
      <c r="B30" s="2" t="s">
        <v>27</v>
      </c>
      <c r="C30" s="2" t="s">
        <v>28</v>
      </c>
      <c r="D30" s="2" t="str">
        <f>_xlfn.XLOOKUP(C30,Doctor!$A$1:$A$11,Doctor!$D$1:$D$11)</f>
        <v>Linda Wilson</v>
      </c>
      <c r="E30" s="4">
        <v>45102</v>
      </c>
      <c r="F30" s="1">
        <v>0.60416666666666663</v>
      </c>
      <c r="G30" s="2" t="s">
        <v>22</v>
      </c>
      <c r="H30" s="2" t="s">
        <v>34</v>
      </c>
    </row>
    <row r="31" spans="1:8" x14ac:dyDescent="0.3">
      <c r="A31" s="2" t="s">
        <v>70</v>
      </c>
      <c r="B31" s="2" t="s">
        <v>45</v>
      </c>
      <c r="C31" s="2" t="s">
        <v>67</v>
      </c>
      <c r="D31" s="2" t="str">
        <f>_xlfn.XLOOKUP(C31,Doctor!$A$1:$A$11,Doctor!$D$1:$D$11)</f>
        <v>Sarah Taylor</v>
      </c>
      <c r="E31" s="4">
        <v>45167</v>
      </c>
      <c r="F31" s="1">
        <v>0.55208333333333337</v>
      </c>
      <c r="G31" s="2" t="s">
        <v>22</v>
      </c>
      <c r="H31" s="2" t="s">
        <v>34</v>
      </c>
    </row>
    <row r="32" spans="1:8" x14ac:dyDescent="0.3">
      <c r="A32" s="2" t="s">
        <v>71</v>
      </c>
      <c r="B32" s="2" t="s">
        <v>45</v>
      </c>
      <c r="C32" s="2" t="s">
        <v>15</v>
      </c>
      <c r="D32" s="2" t="str">
        <f>_xlfn.XLOOKUP(C32,Doctor!$A$1:$A$11,Doctor!$D$1:$D$11)</f>
        <v>Alex Davis</v>
      </c>
      <c r="E32" s="4">
        <v>45020</v>
      </c>
      <c r="F32" s="1">
        <v>0.4375</v>
      </c>
      <c r="G32" s="2" t="s">
        <v>22</v>
      </c>
      <c r="H32" s="2" t="s">
        <v>34</v>
      </c>
    </row>
    <row r="33" spans="1:8" x14ac:dyDescent="0.3">
      <c r="A33" s="2" t="s">
        <v>72</v>
      </c>
      <c r="B33" s="2" t="s">
        <v>10</v>
      </c>
      <c r="C33" s="2" t="s">
        <v>67</v>
      </c>
      <c r="D33" s="2" t="str">
        <f>_xlfn.XLOOKUP(C33,Doctor!$A$1:$A$11,Doctor!$D$1:$D$11)</f>
        <v>Sarah Taylor</v>
      </c>
      <c r="E33" s="4">
        <v>45236</v>
      </c>
      <c r="F33" s="1">
        <v>0.44791666666666669</v>
      </c>
      <c r="G33" s="2" t="s">
        <v>22</v>
      </c>
      <c r="H33" s="2" t="s">
        <v>4</v>
      </c>
    </row>
    <row r="34" spans="1:8" x14ac:dyDescent="0.3">
      <c r="A34" s="2" t="s">
        <v>73</v>
      </c>
      <c r="B34" s="2" t="s">
        <v>74</v>
      </c>
      <c r="C34" s="2" t="s">
        <v>67</v>
      </c>
      <c r="D34" s="2" t="str">
        <f>_xlfn.XLOOKUP(C34,Doctor!$A$1:$A$11,Doctor!$D$1:$D$11)</f>
        <v>Sarah Taylor</v>
      </c>
      <c r="E34" s="4">
        <v>45192</v>
      </c>
      <c r="F34" s="1">
        <v>0.73958333333333337</v>
      </c>
      <c r="G34" s="2" t="s">
        <v>3</v>
      </c>
      <c r="H34" s="2" t="s">
        <v>8</v>
      </c>
    </row>
    <row r="35" spans="1:8" x14ac:dyDescent="0.3">
      <c r="A35" s="2" t="s">
        <v>75</v>
      </c>
      <c r="B35" s="2" t="s">
        <v>30</v>
      </c>
      <c r="C35" s="2" t="s">
        <v>7</v>
      </c>
      <c r="D35" s="2" t="str">
        <f>_xlfn.XLOOKUP(C35,Doctor!$A$1:$A$11,Doctor!$D$1:$D$11)</f>
        <v>David Jones</v>
      </c>
      <c r="E35" s="4">
        <v>45090</v>
      </c>
      <c r="F35" s="1">
        <v>0.47916666666666669</v>
      </c>
      <c r="G35" s="2" t="s">
        <v>11</v>
      </c>
      <c r="H35" s="2" t="s">
        <v>8</v>
      </c>
    </row>
    <row r="36" spans="1:8" x14ac:dyDescent="0.3">
      <c r="A36" s="2" t="s">
        <v>76</v>
      </c>
      <c r="B36" s="2" t="s">
        <v>77</v>
      </c>
      <c r="C36" s="2" t="s">
        <v>18</v>
      </c>
      <c r="D36" s="2" t="str">
        <f>_xlfn.XLOOKUP(C36,Doctor!$A$1:$A$11,Doctor!$D$1:$D$11)</f>
        <v>Jane Smith</v>
      </c>
      <c r="E36" s="4">
        <v>45034</v>
      </c>
      <c r="F36" s="1">
        <v>0.36458333333333331</v>
      </c>
      <c r="G36" s="2" t="s">
        <v>31</v>
      </c>
      <c r="H36" s="2" t="s">
        <v>4</v>
      </c>
    </row>
    <row r="37" spans="1:8" x14ac:dyDescent="0.3">
      <c r="A37" s="2" t="s">
        <v>78</v>
      </c>
      <c r="B37" s="2" t="s">
        <v>79</v>
      </c>
      <c r="C37" s="2" t="s">
        <v>18</v>
      </c>
      <c r="D37" s="2" t="str">
        <f>_xlfn.XLOOKUP(C37,Doctor!$A$1:$A$11,Doctor!$D$1:$D$11)</f>
        <v>Jane Smith</v>
      </c>
      <c r="E37" s="4">
        <v>44934</v>
      </c>
      <c r="F37" s="1">
        <v>0.60416666666666663</v>
      </c>
      <c r="G37" s="2" t="s">
        <v>22</v>
      </c>
      <c r="H37" s="2" t="s">
        <v>8</v>
      </c>
    </row>
    <row r="38" spans="1:8" x14ac:dyDescent="0.3">
      <c r="A38" s="2" t="s">
        <v>80</v>
      </c>
      <c r="B38" s="2" t="s">
        <v>63</v>
      </c>
      <c r="C38" s="2" t="s">
        <v>7</v>
      </c>
      <c r="D38" s="2" t="str">
        <f>_xlfn.XLOOKUP(C38,Doctor!$A$1:$A$11,Doctor!$D$1:$D$11)</f>
        <v>David Jones</v>
      </c>
      <c r="E38" s="4">
        <v>45013</v>
      </c>
      <c r="F38" s="1">
        <v>0.45833333333333331</v>
      </c>
      <c r="G38" s="2" t="s">
        <v>11</v>
      </c>
      <c r="H38" s="2" t="s">
        <v>4</v>
      </c>
    </row>
    <row r="39" spans="1:8" x14ac:dyDescent="0.3">
      <c r="A39" s="2" t="s">
        <v>81</v>
      </c>
      <c r="B39" s="2" t="s">
        <v>49</v>
      </c>
      <c r="C39" s="2" t="s">
        <v>2</v>
      </c>
      <c r="D39" s="2" t="str">
        <f>_xlfn.XLOOKUP(C39,Doctor!$A$1:$A$11,Doctor!$D$1:$D$11)</f>
        <v>Sarah Smith</v>
      </c>
      <c r="E39" s="4">
        <v>44980</v>
      </c>
      <c r="F39" s="1">
        <v>0.54166666666666663</v>
      </c>
      <c r="G39" s="2" t="s">
        <v>11</v>
      </c>
      <c r="H39" s="2" t="s">
        <v>4</v>
      </c>
    </row>
    <row r="40" spans="1:8" x14ac:dyDescent="0.3">
      <c r="A40" s="2" t="s">
        <v>82</v>
      </c>
      <c r="B40" s="2" t="s">
        <v>83</v>
      </c>
      <c r="C40" s="2" t="s">
        <v>41</v>
      </c>
      <c r="D40" s="2" t="str">
        <f>_xlfn.XLOOKUP(C40,Doctor!$A$1:$A$11,Doctor!$D$1:$D$11)</f>
        <v>Jane Davis</v>
      </c>
      <c r="E40" s="4">
        <v>45033</v>
      </c>
      <c r="F40" s="1">
        <v>0.33333333333333331</v>
      </c>
      <c r="G40" s="2" t="s">
        <v>31</v>
      </c>
      <c r="H40" s="2" t="s">
        <v>4</v>
      </c>
    </row>
    <row r="41" spans="1:8" x14ac:dyDescent="0.3">
      <c r="A41" s="2" t="s">
        <v>84</v>
      </c>
      <c r="B41" s="2" t="s">
        <v>85</v>
      </c>
      <c r="C41" s="2" t="s">
        <v>2</v>
      </c>
      <c r="D41" s="2" t="str">
        <f>_xlfn.XLOOKUP(C41,Doctor!$A$1:$A$11,Doctor!$D$1:$D$11)</f>
        <v>Sarah Smith</v>
      </c>
      <c r="E41" s="4">
        <v>45012</v>
      </c>
      <c r="F41" s="1">
        <v>0.52083333333333337</v>
      </c>
      <c r="G41" s="2" t="s">
        <v>3</v>
      </c>
      <c r="H41" s="2" t="s">
        <v>34</v>
      </c>
    </row>
    <row r="42" spans="1:8" x14ac:dyDescent="0.3">
      <c r="A42" s="2" t="s">
        <v>86</v>
      </c>
      <c r="B42" s="2" t="s">
        <v>33</v>
      </c>
      <c r="C42" s="2" t="s">
        <v>52</v>
      </c>
      <c r="D42" s="2" t="str">
        <f>_xlfn.XLOOKUP(C42,Doctor!$A$1:$A$11,Doctor!$D$1:$D$11)</f>
        <v>David Taylor</v>
      </c>
      <c r="E42" s="4">
        <v>44927</v>
      </c>
      <c r="F42" s="1">
        <v>0.58333333333333337</v>
      </c>
      <c r="G42" s="2" t="s">
        <v>19</v>
      </c>
      <c r="H42" s="2" t="s">
        <v>8</v>
      </c>
    </row>
    <row r="43" spans="1:8" x14ac:dyDescent="0.3">
      <c r="A43" s="2" t="s">
        <v>87</v>
      </c>
      <c r="B43" s="2" t="s">
        <v>77</v>
      </c>
      <c r="C43" s="2" t="s">
        <v>52</v>
      </c>
      <c r="D43" s="2" t="str">
        <f>_xlfn.XLOOKUP(C43,Doctor!$A$1:$A$11,Doctor!$D$1:$D$11)</f>
        <v>David Taylor</v>
      </c>
      <c r="E43" s="4">
        <v>45006</v>
      </c>
      <c r="F43" s="1">
        <v>0.46875</v>
      </c>
      <c r="G43" s="2" t="s">
        <v>19</v>
      </c>
      <c r="H43" s="2" t="s">
        <v>4</v>
      </c>
    </row>
    <row r="44" spans="1:8" x14ac:dyDescent="0.3">
      <c r="A44" s="2" t="s">
        <v>88</v>
      </c>
      <c r="B44" s="2" t="s">
        <v>1</v>
      </c>
      <c r="C44" s="2" t="s">
        <v>67</v>
      </c>
      <c r="D44" s="2" t="str">
        <f>_xlfn.XLOOKUP(C44,Doctor!$A$1:$A$11,Doctor!$D$1:$D$11)</f>
        <v>Sarah Taylor</v>
      </c>
      <c r="E44" s="4">
        <v>45014</v>
      </c>
      <c r="F44" s="1">
        <v>0.38541666666666669</v>
      </c>
      <c r="G44" s="2" t="s">
        <v>11</v>
      </c>
      <c r="H44" s="2" t="s">
        <v>8</v>
      </c>
    </row>
    <row r="45" spans="1:8" x14ac:dyDescent="0.3">
      <c r="A45" s="2" t="s">
        <v>89</v>
      </c>
      <c r="B45" s="2" t="s">
        <v>90</v>
      </c>
      <c r="C45" s="2" t="s">
        <v>15</v>
      </c>
      <c r="D45" s="2" t="str">
        <f>_xlfn.XLOOKUP(C45,Doctor!$A$1:$A$11,Doctor!$D$1:$D$11)</f>
        <v>Alex Davis</v>
      </c>
      <c r="E45" s="4">
        <v>45189</v>
      </c>
      <c r="F45" s="1">
        <v>0.52083333333333337</v>
      </c>
      <c r="G45" s="2" t="s">
        <v>31</v>
      </c>
      <c r="H45" s="2" t="s">
        <v>34</v>
      </c>
    </row>
    <row r="46" spans="1:8" x14ac:dyDescent="0.3">
      <c r="A46" s="2" t="s">
        <v>91</v>
      </c>
      <c r="B46" s="2" t="s">
        <v>85</v>
      </c>
      <c r="C46" s="2" t="s">
        <v>15</v>
      </c>
      <c r="D46" s="2" t="str">
        <f>_xlfn.XLOOKUP(C46,Doctor!$A$1:$A$11,Doctor!$D$1:$D$11)</f>
        <v>Alex Davis</v>
      </c>
      <c r="E46" s="4">
        <v>45197</v>
      </c>
      <c r="F46" s="1">
        <v>0.70833333333333337</v>
      </c>
      <c r="G46" s="2" t="s">
        <v>19</v>
      </c>
      <c r="H46" s="2" t="s">
        <v>4</v>
      </c>
    </row>
    <row r="47" spans="1:8" x14ac:dyDescent="0.3">
      <c r="A47" s="2" t="s">
        <v>92</v>
      </c>
      <c r="B47" s="2" t="s">
        <v>93</v>
      </c>
      <c r="C47" s="2" t="s">
        <v>18</v>
      </c>
      <c r="D47" s="2" t="str">
        <f>_xlfn.XLOOKUP(C47,Doctor!$A$1:$A$11,Doctor!$D$1:$D$11)</f>
        <v>Jane Smith</v>
      </c>
      <c r="E47" s="4">
        <v>45280</v>
      </c>
      <c r="F47" s="1">
        <v>0.55208333333333337</v>
      </c>
      <c r="G47" s="2" t="s">
        <v>11</v>
      </c>
      <c r="H47" s="2" t="s">
        <v>12</v>
      </c>
    </row>
    <row r="48" spans="1:8" x14ac:dyDescent="0.3">
      <c r="A48" s="2" t="s">
        <v>94</v>
      </c>
      <c r="B48" s="2" t="s">
        <v>6</v>
      </c>
      <c r="C48" s="2" t="s">
        <v>25</v>
      </c>
      <c r="D48" s="2" t="str">
        <f>_xlfn.XLOOKUP(C48,Doctor!$A$1:$A$11,Doctor!$D$1:$D$11)</f>
        <v>Robert Davis</v>
      </c>
      <c r="E48" s="4">
        <v>45048</v>
      </c>
      <c r="F48" s="1">
        <v>0.45833333333333331</v>
      </c>
      <c r="G48" s="2" t="s">
        <v>3</v>
      </c>
      <c r="H48" s="2" t="s">
        <v>34</v>
      </c>
    </row>
    <row r="49" spans="1:8" x14ac:dyDescent="0.3">
      <c r="A49" s="2" t="s">
        <v>95</v>
      </c>
      <c r="B49" s="2" t="s">
        <v>24</v>
      </c>
      <c r="C49" s="2" t="s">
        <v>2</v>
      </c>
      <c r="D49" s="2" t="str">
        <f>_xlfn.XLOOKUP(C49,Doctor!$A$1:$A$11,Doctor!$D$1:$D$11)</f>
        <v>Sarah Smith</v>
      </c>
      <c r="E49" s="4">
        <v>44942</v>
      </c>
      <c r="F49" s="1">
        <v>0.65625</v>
      </c>
      <c r="G49" s="2" t="s">
        <v>19</v>
      </c>
      <c r="H49" s="2" t="s">
        <v>12</v>
      </c>
    </row>
    <row r="50" spans="1:8" x14ac:dyDescent="0.3">
      <c r="A50" s="2" t="s">
        <v>96</v>
      </c>
      <c r="B50" s="2" t="s">
        <v>33</v>
      </c>
      <c r="C50" s="2" t="s">
        <v>28</v>
      </c>
      <c r="D50" s="2" t="str">
        <f>_xlfn.XLOOKUP(C50,Doctor!$A$1:$A$11,Doctor!$D$1:$D$11)</f>
        <v>Linda Wilson</v>
      </c>
      <c r="E50" s="4">
        <v>45046</v>
      </c>
      <c r="F50" s="1">
        <v>0.64583333333333337</v>
      </c>
      <c r="G50" s="2" t="s">
        <v>11</v>
      </c>
      <c r="H50" s="2" t="s">
        <v>8</v>
      </c>
    </row>
    <row r="51" spans="1:8" x14ac:dyDescent="0.3">
      <c r="A51" s="2" t="s">
        <v>97</v>
      </c>
      <c r="B51" s="2" t="s">
        <v>21</v>
      </c>
      <c r="C51" s="2" t="s">
        <v>47</v>
      </c>
      <c r="D51" s="2" t="str">
        <f>_xlfn.XLOOKUP(C51,Doctor!$A$1:$A$11,Doctor!$D$1:$D$11)</f>
        <v>Linda Brown</v>
      </c>
      <c r="E51" s="4">
        <v>45154</v>
      </c>
      <c r="F51" s="1">
        <v>0.625</v>
      </c>
      <c r="G51" s="2" t="s">
        <v>11</v>
      </c>
      <c r="H51" s="2" t="s">
        <v>8</v>
      </c>
    </row>
    <row r="52" spans="1:8" x14ac:dyDescent="0.3">
      <c r="A52" s="2" t="s">
        <v>98</v>
      </c>
      <c r="B52" s="2" t="s">
        <v>99</v>
      </c>
      <c r="C52" s="2" t="s">
        <v>15</v>
      </c>
      <c r="D52" s="2" t="str">
        <f>_xlfn.XLOOKUP(C52,Doctor!$A$1:$A$11,Doctor!$D$1:$D$11)</f>
        <v>Alex Davis</v>
      </c>
      <c r="E52" s="4">
        <v>44961</v>
      </c>
      <c r="F52" s="1">
        <v>0.48958333333333331</v>
      </c>
      <c r="G52" s="2" t="s">
        <v>22</v>
      </c>
      <c r="H52" s="2" t="s">
        <v>34</v>
      </c>
    </row>
    <row r="53" spans="1:8" x14ac:dyDescent="0.3">
      <c r="A53" s="2" t="s">
        <v>100</v>
      </c>
      <c r="B53" s="2" t="s">
        <v>27</v>
      </c>
      <c r="C53" s="2" t="s">
        <v>47</v>
      </c>
      <c r="D53" s="2" t="str">
        <f>_xlfn.XLOOKUP(C53,Doctor!$A$1:$A$11,Doctor!$D$1:$D$11)</f>
        <v>Linda Brown</v>
      </c>
      <c r="E53" s="4">
        <v>45119</v>
      </c>
      <c r="F53" s="1">
        <v>0.39583333333333331</v>
      </c>
      <c r="G53" s="2" t="s">
        <v>3</v>
      </c>
      <c r="H53" s="2" t="s">
        <v>8</v>
      </c>
    </row>
    <row r="54" spans="1:8" x14ac:dyDescent="0.3">
      <c r="A54" s="2" t="s">
        <v>101</v>
      </c>
      <c r="B54" s="2" t="s">
        <v>102</v>
      </c>
      <c r="C54" s="2" t="s">
        <v>67</v>
      </c>
      <c r="D54" s="2" t="str">
        <f>_xlfn.XLOOKUP(C54,Doctor!$A$1:$A$11,Doctor!$D$1:$D$11)</f>
        <v>Sarah Taylor</v>
      </c>
      <c r="E54" s="4">
        <v>44969</v>
      </c>
      <c r="F54" s="1">
        <v>0.4375</v>
      </c>
      <c r="G54" s="2" t="s">
        <v>22</v>
      </c>
      <c r="H54" s="2" t="s">
        <v>12</v>
      </c>
    </row>
    <row r="55" spans="1:8" x14ac:dyDescent="0.3">
      <c r="A55" s="2" t="s">
        <v>103</v>
      </c>
      <c r="B55" s="2" t="s">
        <v>27</v>
      </c>
      <c r="C55" s="2" t="s">
        <v>47</v>
      </c>
      <c r="D55" s="2" t="str">
        <f>_xlfn.XLOOKUP(C55,Doctor!$A$1:$A$11,Doctor!$D$1:$D$11)</f>
        <v>Linda Brown</v>
      </c>
      <c r="E55" s="4">
        <v>45276</v>
      </c>
      <c r="F55" s="1">
        <v>0.48958333333333331</v>
      </c>
      <c r="G55" s="2" t="s">
        <v>31</v>
      </c>
      <c r="H55" s="2" t="s">
        <v>4</v>
      </c>
    </row>
    <row r="56" spans="1:8" x14ac:dyDescent="0.3">
      <c r="A56" s="2" t="s">
        <v>104</v>
      </c>
      <c r="B56" s="2" t="s">
        <v>105</v>
      </c>
      <c r="C56" s="2" t="s">
        <v>28</v>
      </c>
      <c r="D56" s="2" t="str">
        <f>_xlfn.XLOOKUP(C56,Doctor!$A$1:$A$11,Doctor!$D$1:$D$11)</f>
        <v>Linda Wilson</v>
      </c>
      <c r="E56" s="4">
        <v>45205</v>
      </c>
      <c r="F56" s="1">
        <v>0.72916666666666663</v>
      </c>
      <c r="G56" s="2" t="s">
        <v>22</v>
      </c>
      <c r="H56" s="2" t="s">
        <v>4</v>
      </c>
    </row>
    <row r="57" spans="1:8" x14ac:dyDescent="0.3">
      <c r="A57" s="2" t="s">
        <v>106</v>
      </c>
      <c r="B57" s="2" t="s">
        <v>61</v>
      </c>
      <c r="C57" s="2" t="s">
        <v>7</v>
      </c>
      <c r="D57" s="2" t="str">
        <f>_xlfn.XLOOKUP(C57,Doctor!$A$1:$A$11,Doctor!$D$1:$D$11)</f>
        <v>David Jones</v>
      </c>
      <c r="E57" s="4">
        <v>44928</v>
      </c>
      <c r="F57" s="1">
        <v>0.53125</v>
      </c>
      <c r="G57" s="2" t="s">
        <v>22</v>
      </c>
      <c r="H57" s="2" t="s">
        <v>4</v>
      </c>
    </row>
    <row r="58" spans="1:8" x14ac:dyDescent="0.3">
      <c r="A58" s="2" t="s">
        <v>107</v>
      </c>
      <c r="B58" s="2" t="s">
        <v>56</v>
      </c>
      <c r="C58" s="2" t="s">
        <v>28</v>
      </c>
      <c r="D58" s="2" t="str">
        <f>_xlfn.XLOOKUP(C58,Doctor!$A$1:$A$11,Doctor!$D$1:$D$11)</f>
        <v>Linda Wilson</v>
      </c>
      <c r="E58" s="4">
        <v>45031</v>
      </c>
      <c r="F58" s="1">
        <v>0.73958333333333337</v>
      </c>
      <c r="G58" s="2" t="s">
        <v>19</v>
      </c>
      <c r="H58" s="2" t="s">
        <v>34</v>
      </c>
    </row>
    <row r="59" spans="1:8" x14ac:dyDescent="0.3">
      <c r="A59" s="2" t="s">
        <v>108</v>
      </c>
      <c r="B59" s="2" t="s">
        <v>6</v>
      </c>
      <c r="C59" s="2" t="s">
        <v>47</v>
      </c>
      <c r="D59" s="2" t="str">
        <f>_xlfn.XLOOKUP(C59,Doctor!$A$1:$A$11,Doctor!$D$1:$D$11)</f>
        <v>Linda Brown</v>
      </c>
      <c r="E59" s="4">
        <v>45055</v>
      </c>
      <c r="F59" s="1">
        <v>0.55208333333333337</v>
      </c>
      <c r="G59" s="2" t="s">
        <v>11</v>
      </c>
      <c r="H59" s="2" t="s">
        <v>8</v>
      </c>
    </row>
    <row r="60" spans="1:8" x14ac:dyDescent="0.3">
      <c r="A60" s="2" t="s">
        <v>109</v>
      </c>
      <c r="B60" s="2" t="s">
        <v>110</v>
      </c>
      <c r="C60" s="2" t="s">
        <v>28</v>
      </c>
      <c r="D60" s="2" t="str">
        <f>_xlfn.XLOOKUP(C60,Doctor!$A$1:$A$11,Doctor!$D$1:$D$11)</f>
        <v>Linda Wilson</v>
      </c>
      <c r="E60" s="4">
        <v>44994</v>
      </c>
      <c r="F60" s="1">
        <v>0.64583333333333337</v>
      </c>
      <c r="G60" s="2" t="s">
        <v>3</v>
      </c>
      <c r="H60" s="2" t="s">
        <v>12</v>
      </c>
    </row>
    <row r="61" spans="1:8" x14ac:dyDescent="0.3">
      <c r="A61" s="2" t="s">
        <v>111</v>
      </c>
      <c r="B61" s="2" t="s">
        <v>112</v>
      </c>
      <c r="C61" s="2" t="s">
        <v>41</v>
      </c>
      <c r="D61" s="2" t="str">
        <f>_xlfn.XLOOKUP(C61,Doctor!$A$1:$A$11,Doctor!$D$1:$D$11)</f>
        <v>Jane Davis</v>
      </c>
      <c r="E61" s="4">
        <v>45252</v>
      </c>
      <c r="F61" s="1">
        <v>0.71875</v>
      </c>
      <c r="G61" s="2" t="s">
        <v>22</v>
      </c>
      <c r="H61" s="2" t="s">
        <v>8</v>
      </c>
    </row>
    <row r="62" spans="1:8" x14ac:dyDescent="0.3">
      <c r="A62" s="2" t="s">
        <v>113</v>
      </c>
      <c r="B62" s="2" t="s">
        <v>102</v>
      </c>
      <c r="C62" s="2" t="s">
        <v>67</v>
      </c>
      <c r="D62" s="2" t="str">
        <f>_xlfn.XLOOKUP(C62,Doctor!$A$1:$A$11,Doctor!$D$1:$D$11)</f>
        <v>Sarah Taylor</v>
      </c>
      <c r="E62" s="4">
        <v>44941</v>
      </c>
      <c r="F62" s="1">
        <v>0.70833333333333337</v>
      </c>
      <c r="G62" s="2" t="s">
        <v>3</v>
      </c>
      <c r="H62" s="2" t="s">
        <v>8</v>
      </c>
    </row>
    <row r="63" spans="1:8" x14ac:dyDescent="0.3">
      <c r="A63" s="2" t="s">
        <v>114</v>
      </c>
      <c r="B63" s="2" t="s">
        <v>43</v>
      </c>
      <c r="C63" s="2" t="s">
        <v>2</v>
      </c>
      <c r="D63" s="2" t="str">
        <f>_xlfn.XLOOKUP(C63,Doctor!$A$1:$A$11,Doctor!$D$1:$D$11)</f>
        <v>Sarah Smith</v>
      </c>
      <c r="E63" s="4">
        <v>45091</v>
      </c>
      <c r="F63" s="1">
        <v>0.63541666666666663</v>
      </c>
      <c r="G63" s="2" t="s">
        <v>22</v>
      </c>
      <c r="H63" s="2" t="s">
        <v>8</v>
      </c>
    </row>
    <row r="64" spans="1:8" x14ac:dyDescent="0.3">
      <c r="A64" s="2" t="s">
        <v>115</v>
      </c>
      <c r="B64" s="2" t="s">
        <v>116</v>
      </c>
      <c r="C64" s="2" t="s">
        <v>7</v>
      </c>
      <c r="D64" s="2" t="str">
        <f>_xlfn.XLOOKUP(C64,Doctor!$A$1:$A$11,Doctor!$D$1:$D$11)</f>
        <v>David Jones</v>
      </c>
      <c r="E64" s="4">
        <v>45106</v>
      </c>
      <c r="F64" s="1">
        <v>0.375</v>
      </c>
      <c r="G64" s="2" t="s">
        <v>31</v>
      </c>
      <c r="H64" s="2" t="s">
        <v>4</v>
      </c>
    </row>
    <row r="65" spans="1:8" x14ac:dyDescent="0.3">
      <c r="A65" s="2" t="s">
        <v>117</v>
      </c>
      <c r="B65" s="2" t="s">
        <v>118</v>
      </c>
      <c r="C65" s="2" t="s">
        <v>15</v>
      </c>
      <c r="D65" s="2" t="str">
        <f>_xlfn.XLOOKUP(C65,Doctor!$A$1:$A$11,Doctor!$D$1:$D$11)</f>
        <v>Alex Davis</v>
      </c>
      <c r="E65" s="4">
        <v>45077</v>
      </c>
      <c r="F65" s="1">
        <v>0.35416666666666669</v>
      </c>
      <c r="G65" s="2" t="s">
        <v>22</v>
      </c>
      <c r="H65" s="2" t="s">
        <v>12</v>
      </c>
    </row>
    <row r="66" spans="1:8" x14ac:dyDescent="0.3">
      <c r="A66" s="2" t="s">
        <v>119</v>
      </c>
      <c r="B66" s="2" t="s">
        <v>79</v>
      </c>
      <c r="C66" s="2" t="s">
        <v>52</v>
      </c>
      <c r="D66" s="2" t="str">
        <f>_xlfn.XLOOKUP(C66,Doctor!$A$1:$A$11,Doctor!$D$1:$D$11)</f>
        <v>David Taylor</v>
      </c>
      <c r="E66" s="4">
        <v>45040</v>
      </c>
      <c r="F66" s="1">
        <v>0.65625</v>
      </c>
      <c r="G66" s="2" t="s">
        <v>19</v>
      </c>
      <c r="H66" s="2" t="s">
        <v>12</v>
      </c>
    </row>
    <row r="67" spans="1:8" x14ac:dyDescent="0.3">
      <c r="A67" s="2" t="s">
        <v>120</v>
      </c>
      <c r="B67" s="2" t="s">
        <v>79</v>
      </c>
      <c r="C67" s="2" t="s">
        <v>2</v>
      </c>
      <c r="D67" s="2" t="str">
        <f>_xlfn.XLOOKUP(C67,Doctor!$A$1:$A$11,Doctor!$D$1:$D$11)</f>
        <v>Sarah Smith</v>
      </c>
      <c r="E67" s="4">
        <v>45056</v>
      </c>
      <c r="F67" s="1">
        <v>0.48958333333333331</v>
      </c>
      <c r="G67" s="2" t="s">
        <v>11</v>
      </c>
      <c r="H67" s="2" t="s">
        <v>8</v>
      </c>
    </row>
    <row r="68" spans="1:8" x14ac:dyDescent="0.3">
      <c r="A68" s="2" t="s">
        <v>121</v>
      </c>
      <c r="B68" s="2" t="s">
        <v>122</v>
      </c>
      <c r="C68" s="2" t="s">
        <v>52</v>
      </c>
      <c r="D68" s="2" t="str">
        <f>_xlfn.XLOOKUP(C68,Doctor!$A$1:$A$11,Doctor!$D$1:$D$11)</f>
        <v>David Taylor</v>
      </c>
      <c r="E68" s="4">
        <v>45148</v>
      </c>
      <c r="F68" s="1">
        <v>0.45833333333333331</v>
      </c>
      <c r="G68" s="2" t="s">
        <v>31</v>
      </c>
      <c r="H68" s="2" t="s">
        <v>4</v>
      </c>
    </row>
    <row r="69" spans="1:8" x14ac:dyDescent="0.3">
      <c r="A69" s="2" t="s">
        <v>123</v>
      </c>
      <c r="B69" s="2" t="s">
        <v>49</v>
      </c>
      <c r="C69" s="2" t="s">
        <v>67</v>
      </c>
      <c r="D69" s="2" t="str">
        <f>_xlfn.XLOOKUP(C69,Doctor!$A$1:$A$11,Doctor!$D$1:$D$11)</f>
        <v>Sarah Taylor</v>
      </c>
      <c r="E69" s="4">
        <v>44999</v>
      </c>
      <c r="F69" s="1">
        <v>0.625</v>
      </c>
      <c r="G69" s="2" t="s">
        <v>22</v>
      </c>
      <c r="H69" s="2" t="s">
        <v>4</v>
      </c>
    </row>
    <row r="70" spans="1:8" x14ac:dyDescent="0.3">
      <c r="A70" s="2" t="s">
        <v>124</v>
      </c>
      <c r="B70" s="2" t="s">
        <v>43</v>
      </c>
      <c r="C70" s="2" t="s">
        <v>7</v>
      </c>
      <c r="D70" s="2" t="str">
        <f>_xlfn.XLOOKUP(C70,Doctor!$A$1:$A$11,Doctor!$D$1:$D$11)</f>
        <v>David Jones</v>
      </c>
      <c r="E70" s="4">
        <v>45014</v>
      </c>
      <c r="F70" s="1">
        <v>0.64583333333333337</v>
      </c>
      <c r="G70" s="2" t="s">
        <v>3</v>
      </c>
      <c r="H70" s="2" t="s">
        <v>12</v>
      </c>
    </row>
    <row r="71" spans="1:8" x14ac:dyDescent="0.3">
      <c r="A71" s="2" t="s">
        <v>125</v>
      </c>
      <c r="B71" s="2" t="s">
        <v>40</v>
      </c>
      <c r="C71" s="2" t="s">
        <v>18</v>
      </c>
      <c r="D71" s="2" t="str">
        <f>_xlfn.XLOOKUP(C71,Doctor!$A$1:$A$11,Doctor!$D$1:$D$11)</f>
        <v>Jane Smith</v>
      </c>
      <c r="E71" s="4">
        <v>45164</v>
      </c>
      <c r="F71" s="1">
        <v>0.70833333333333337</v>
      </c>
      <c r="G71" s="2" t="s">
        <v>31</v>
      </c>
      <c r="H71" s="2" t="s">
        <v>4</v>
      </c>
    </row>
    <row r="72" spans="1:8" x14ac:dyDescent="0.3">
      <c r="A72" s="2" t="s">
        <v>126</v>
      </c>
      <c r="B72" s="2" t="s">
        <v>24</v>
      </c>
      <c r="C72" s="2" t="s">
        <v>15</v>
      </c>
      <c r="D72" s="2" t="str">
        <f>_xlfn.XLOOKUP(C72,Doctor!$A$1:$A$11,Doctor!$D$1:$D$11)</f>
        <v>Alex Davis</v>
      </c>
      <c r="E72" s="4">
        <v>44952</v>
      </c>
      <c r="F72" s="1">
        <v>0.70833333333333337</v>
      </c>
      <c r="G72" s="2" t="s">
        <v>31</v>
      </c>
      <c r="H72" s="2" t="s">
        <v>4</v>
      </c>
    </row>
    <row r="73" spans="1:8" x14ac:dyDescent="0.3">
      <c r="A73" s="2" t="s">
        <v>127</v>
      </c>
      <c r="B73" s="2" t="s">
        <v>79</v>
      </c>
      <c r="C73" s="2" t="s">
        <v>41</v>
      </c>
      <c r="D73" s="2" t="str">
        <f>_xlfn.XLOOKUP(C73,Doctor!$A$1:$A$11,Doctor!$D$1:$D$11)</f>
        <v>Jane Davis</v>
      </c>
      <c r="E73" s="4">
        <v>45089</v>
      </c>
      <c r="F73" s="1">
        <v>0.5625</v>
      </c>
      <c r="G73" s="2" t="s">
        <v>22</v>
      </c>
      <c r="H73" s="2" t="s">
        <v>4</v>
      </c>
    </row>
    <row r="74" spans="1:8" x14ac:dyDescent="0.3">
      <c r="A74" s="2" t="s">
        <v>128</v>
      </c>
      <c r="B74" s="2" t="s">
        <v>17</v>
      </c>
      <c r="C74" s="2" t="s">
        <v>18</v>
      </c>
      <c r="D74" s="2" t="str">
        <f>_xlfn.XLOOKUP(C74,Doctor!$A$1:$A$11,Doctor!$D$1:$D$11)</f>
        <v>Jane Smith</v>
      </c>
      <c r="E74" s="4">
        <v>45284</v>
      </c>
      <c r="F74" s="1">
        <v>0.625</v>
      </c>
      <c r="G74" s="2" t="s">
        <v>31</v>
      </c>
      <c r="H74" s="2" t="s">
        <v>34</v>
      </c>
    </row>
    <row r="75" spans="1:8" x14ac:dyDescent="0.3">
      <c r="A75" s="2" t="s">
        <v>129</v>
      </c>
      <c r="B75" s="2" t="s">
        <v>85</v>
      </c>
      <c r="C75" s="2" t="s">
        <v>67</v>
      </c>
      <c r="D75" s="2" t="str">
        <f>_xlfn.XLOOKUP(C75,Doctor!$A$1:$A$11,Doctor!$D$1:$D$11)</f>
        <v>Sarah Taylor</v>
      </c>
      <c r="E75" s="4">
        <v>45130</v>
      </c>
      <c r="F75" s="1">
        <v>0.5625</v>
      </c>
      <c r="G75" s="2" t="s">
        <v>3</v>
      </c>
      <c r="H75" s="2" t="s">
        <v>8</v>
      </c>
    </row>
    <row r="76" spans="1:8" x14ac:dyDescent="0.3">
      <c r="A76" s="2" t="s">
        <v>130</v>
      </c>
      <c r="B76" s="2" t="s">
        <v>122</v>
      </c>
      <c r="C76" s="2" t="s">
        <v>2</v>
      </c>
      <c r="D76" s="2" t="str">
        <f>_xlfn.XLOOKUP(C76,Doctor!$A$1:$A$11,Doctor!$D$1:$D$11)</f>
        <v>Sarah Smith</v>
      </c>
      <c r="E76" s="4">
        <v>45054</v>
      </c>
      <c r="F76" s="1">
        <v>0.58333333333333337</v>
      </c>
      <c r="G76" s="2" t="s">
        <v>31</v>
      </c>
      <c r="H76" s="2" t="s">
        <v>12</v>
      </c>
    </row>
    <row r="77" spans="1:8" x14ac:dyDescent="0.3">
      <c r="A77" s="2" t="s">
        <v>131</v>
      </c>
      <c r="B77" s="2" t="s">
        <v>132</v>
      </c>
      <c r="C77" s="2" t="s">
        <v>41</v>
      </c>
      <c r="D77" s="2" t="str">
        <f>_xlfn.XLOOKUP(C77,Doctor!$A$1:$A$11,Doctor!$D$1:$D$11)</f>
        <v>Jane Davis</v>
      </c>
      <c r="E77" s="4">
        <v>45257</v>
      </c>
      <c r="F77" s="1">
        <v>0.5</v>
      </c>
      <c r="G77" s="2" t="s">
        <v>3</v>
      </c>
      <c r="H77" s="2" t="s">
        <v>12</v>
      </c>
    </row>
    <row r="78" spans="1:8" x14ac:dyDescent="0.3">
      <c r="A78" s="2" t="s">
        <v>133</v>
      </c>
      <c r="B78" s="2" t="s">
        <v>38</v>
      </c>
      <c r="C78" s="2" t="s">
        <v>28</v>
      </c>
      <c r="D78" s="2" t="str">
        <f>_xlfn.XLOOKUP(C78,Doctor!$A$1:$A$11,Doctor!$D$1:$D$11)</f>
        <v>Linda Wilson</v>
      </c>
      <c r="E78" s="4">
        <v>45274</v>
      </c>
      <c r="F78" s="1">
        <v>0.71875</v>
      </c>
      <c r="G78" s="2" t="s">
        <v>22</v>
      </c>
      <c r="H78" s="2" t="s">
        <v>34</v>
      </c>
    </row>
    <row r="79" spans="1:8" x14ac:dyDescent="0.3">
      <c r="A79" s="2" t="s">
        <v>134</v>
      </c>
      <c r="B79" s="2" t="s">
        <v>135</v>
      </c>
      <c r="C79" s="2" t="s">
        <v>47</v>
      </c>
      <c r="D79" s="2" t="str">
        <f>_xlfn.XLOOKUP(C79,Doctor!$A$1:$A$11,Doctor!$D$1:$D$11)</f>
        <v>Linda Brown</v>
      </c>
      <c r="E79" s="4">
        <v>45186</v>
      </c>
      <c r="F79" s="1">
        <v>0.46875</v>
      </c>
      <c r="G79" s="2" t="s">
        <v>11</v>
      </c>
      <c r="H79" s="2" t="s">
        <v>8</v>
      </c>
    </row>
    <row r="80" spans="1:8" x14ac:dyDescent="0.3">
      <c r="A80" s="2" t="s">
        <v>136</v>
      </c>
      <c r="B80" s="2" t="s">
        <v>43</v>
      </c>
      <c r="C80" s="2" t="s">
        <v>41</v>
      </c>
      <c r="D80" s="2" t="str">
        <f>_xlfn.XLOOKUP(C80,Doctor!$A$1:$A$11,Doctor!$D$1:$D$11)</f>
        <v>Jane Davis</v>
      </c>
      <c r="E80" s="4">
        <v>45286</v>
      </c>
      <c r="F80" s="1">
        <v>0.58333333333333337</v>
      </c>
      <c r="G80" s="2" t="s">
        <v>31</v>
      </c>
      <c r="H80" s="2" t="s">
        <v>12</v>
      </c>
    </row>
    <row r="81" spans="1:8" x14ac:dyDescent="0.3">
      <c r="A81" s="2" t="s">
        <v>137</v>
      </c>
      <c r="B81" s="2" t="s">
        <v>90</v>
      </c>
      <c r="C81" s="2" t="s">
        <v>67</v>
      </c>
      <c r="D81" s="2" t="str">
        <f>_xlfn.XLOOKUP(C81,Doctor!$A$1:$A$11,Doctor!$D$1:$D$11)</f>
        <v>Sarah Taylor</v>
      </c>
      <c r="E81" s="4">
        <v>45103</v>
      </c>
      <c r="F81" s="1">
        <v>0.35416666666666669</v>
      </c>
      <c r="G81" s="2" t="s">
        <v>11</v>
      </c>
      <c r="H81" s="2" t="s">
        <v>4</v>
      </c>
    </row>
    <row r="82" spans="1:8" x14ac:dyDescent="0.3">
      <c r="A82" s="2" t="s">
        <v>138</v>
      </c>
      <c r="B82" s="2" t="s">
        <v>65</v>
      </c>
      <c r="C82" s="2" t="s">
        <v>25</v>
      </c>
      <c r="D82" s="2" t="str">
        <f>_xlfn.XLOOKUP(C82,Doctor!$A$1:$A$11,Doctor!$D$1:$D$11)</f>
        <v>Robert Davis</v>
      </c>
      <c r="E82" s="4">
        <v>44932</v>
      </c>
      <c r="F82" s="1">
        <v>0.5625</v>
      </c>
      <c r="G82" s="2" t="s">
        <v>3</v>
      </c>
      <c r="H82" s="2" t="s">
        <v>12</v>
      </c>
    </row>
    <row r="83" spans="1:8" x14ac:dyDescent="0.3">
      <c r="A83" s="2" t="s">
        <v>139</v>
      </c>
      <c r="B83" s="2" t="s">
        <v>105</v>
      </c>
      <c r="C83" s="2" t="s">
        <v>47</v>
      </c>
      <c r="D83" s="2" t="str">
        <f>_xlfn.XLOOKUP(C83,Doctor!$A$1:$A$11,Doctor!$D$1:$D$11)</f>
        <v>Linda Brown</v>
      </c>
      <c r="E83" s="4">
        <v>44946</v>
      </c>
      <c r="F83" s="1">
        <v>0.44791666666666669</v>
      </c>
      <c r="G83" s="2" t="s">
        <v>31</v>
      </c>
      <c r="H83" s="2" t="s">
        <v>4</v>
      </c>
    </row>
    <row r="84" spans="1:8" x14ac:dyDescent="0.3">
      <c r="A84" s="2" t="s">
        <v>140</v>
      </c>
      <c r="B84" s="2" t="s">
        <v>116</v>
      </c>
      <c r="C84" s="2" t="s">
        <v>52</v>
      </c>
      <c r="D84" s="2" t="str">
        <f>_xlfn.XLOOKUP(C84,Doctor!$A$1:$A$11,Doctor!$D$1:$D$11)</f>
        <v>David Taylor</v>
      </c>
      <c r="E84" s="4">
        <v>45237</v>
      </c>
      <c r="F84" s="1">
        <v>0.52083333333333337</v>
      </c>
      <c r="G84" s="2" t="s">
        <v>19</v>
      </c>
      <c r="H84" s="2" t="s">
        <v>34</v>
      </c>
    </row>
    <row r="85" spans="1:8" x14ac:dyDescent="0.3">
      <c r="A85" s="2" t="s">
        <v>141</v>
      </c>
      <c r="B85" s="2" t="s">
        <v>118</v>
      </c>
      <c r="C85" s="2" t="s">
        <v>15</v>
      </c>
      <c r="D85" s="2" t="str">
        <f>_xlfn.XLOOKUP(C85,Doctor!$A$1:$A$11,Doctor!$D$1:$D$11)</f>
        <v>Alex Davis</v>
      </c>
      <c r="E85" s="4">
        <v>45077</v>
      </c>
      <c r="F85" s="1">
        <v>0.66666666666666663</v>
      </c>
      <c r="G85" s="2" t="s">
        <v>11</v>
      </c>
      <c r="H85" s="2" t="s">
        <v>4</v>
      </c>
    </row>
    <row r="86" spans="1:8" x14ac:dyDescent="0.3">
      <c r="A86" s="2" t="s">
        <v>142</v>
      </c>
      <c r="B86" s="2" t="s">
        <v>83</v>
      </c>
      <c r="C86" s="2" t="s">
        <v>52</v>
      </c>
      <c r="D86" s="2" t="str">
        <f>_xlfn.XLOOKUP(C86,Doctor!$A$1:$A$11,Doctor!$D$1:$D$11)</f>
        <v>David Taylor</v>
      </c>
      <c r="E86" s="4">
        <v>44975</v>
      </c>
      <c r="F86" s="1">
        <v>0.67708333333333337</v>
      </c>
      <c r="G86" s="2" t="s">
        <v>31</v>
      </c>
      <c r="H86" s="2" t="s">
        <v>12</v>
      </c>
    </row>
    <row r="87" spans="1:8" x14ac:dyDescent="0.3">
      <c r="A87" s="2" t="s">
        <v>143</v>
      </c>
      <c r="B87" s="2" t="s">
        <v>144</v>
      </c>
      <c r="C87" s="2" t="s">
        <v>41</v>
      </c>
      <c r="D87" s="2" t="str">
        <f>_xlfn.XLOOKUP(C87,Doctor!$A$1:$A$11,Doctor!$D$1:$D$11)</f>
        <v>Jane Davis</v>
      </c>
      <c r="E87" s="4">
        <v>45228</v>
      </c>
      <c r="F87" s="1">
        <v>0.45833333333333331</v>
      </c>
      <c r="G87" s="2" t="s">
        <v>11</v>
      </c>
      <c r="H87" s="2" t="s">
        <v>12</v>
      </c>
    </row>
    <row r="88" spans="1:8" x14ac:dyDescent="0.3">
      <c r="A88" s="2" t="s">
        <v>145</v>
      </c>
      <c r="B88" s="2" t="s">
        <v>45</v>
      </c>
      <c r="C88" s="2" t="s">
        <v>52</v>
      </c>
      <c r="D88" s="2" t="str">
        <f>_xlfn.XLOOKUP(C88,Doctor!$A$1:$A$11,Doctor!$D$1:$D$11)</f>
        <v>David Taylor</v>
      </c>
      <c r="E88" s="4">
        <v>45218</v>
      </c>
      <c r="F88" s="1">
        <v>0.51041666666666663</v>
      </c>
      <c r="G88" s="2" t="s">
        <v>31</v>
      </c>
      <c r="H88" s="2" t="s">
        <v>12</v>
      </c>
    </row>
    <row r="89" spans="1:8" x14ac:dyDescent="0.3">
      <c r="A89" s="2" t="s">
        <v>146</v>
      </c>
      <c r="B89" s="2" t="s">
        <v>147</v>
      </c>
      <c r="C89" s="2" t="s">
        <v>67</v>
      </c>
      <c r="D89" s="2" t="str">
        <f>_xlfn.XLOOKUP(C89,Doctor!$A$1:$A$11,Doctor!$D$1:$D$11)</f>
        <v>Sarah Taylor</v>
      </c>
      <c r="E89" s="4">
        <v>45048</v>
      </c>
      <c r="F89" s="1">
        <v>0.6875</v>
      </c>
      <c r="G89" s="2" t="s">
        <v>22</v>
      </c>
      <c r="H89" s="2" t="s">
        <v>34</v>
      </c>
    </row>
    <row r="90" spans="1:8" x14ac:dyDescent="0.3">
      <c r="A90" s="2" t="s">
        <v>148</v>
      </c>
      <c r="B90" s="2" t="s">
        <v>38</v>
      </c>
      <c r="C90" s="2" t="s">
        <v>28</v>
      </c>
      <c r="D90" s="2" t="str">
        <f>_xlfn.XLOOKUP(C90,Doctor!$A$1:$A$11,Doctor!$D$1:$D$11)</f>
        <v>Linda Wilson</v>
      </c>
      <c r="E90" s="4">
        <v>44971</v>
      </c>
      <c r="F90" s="1">
        <v>0.45833333333333331</v>
      </c>
      <c r="G90" s="2" t="s">
        <v>11</v>
      </c>
      <c r="H90" s="2" t="s">
        <v>34</v>
      </c>
    </row>
    <row r="91" spans="1:8" x14ac:dyDescent="0.3">
      <c r="A91" s="2" t="s">
        <v>149</v>
      </c>
      <c r="B91" s="2" t="s">
        <v>45</v>
      </c>
      <c r="C91" s="2" t="s">
        <v>2</v>
      </c>
      <c r="D91" s="2" t="str">
        <f>_xlfn.XLOOKUP(C91,Doctor!$A$1:$A$11,Doctor!$D$1:$D$11)</f>
        <v>Sarah Smith</v>
      </c>
      <c r="E91" s="4">
        <v>45078</v>
      </c>
      <c r="F91" s="1">
        <v>0.72916666666666663</v>
      </c>
      <c r="G91" s="2" t="s">
        <v>19</v>
      </c>
      <c r="H91" s="2" t="s">
        <v>8</v>
      </c>
    </row>
    <row r="92" spans="1:8" x14ac:dyDescent="0.3">
      <c r="A92" s="2" t="s">
        <v>150</v>
      </c>
      <c r="B92" s="2" t="s">
        <v>85</v>
      </c>
      <c r="C92" s="2" t="s">
        <v>15</v>
      </c>
      <c r="D92" s="2" t="str">
        <f>_xlfn.XLOOKUP(C92,Doctor!$A$1:$A$11,Doctor!$D$1:$D$11)</f>
        <v>Alex Davis</v>
      </c>
      <c r="E92" s="4">
        <v>45088</v>
      </c>
      <c r="F92" s="1">
        <v>0.55208333333333337</v>
      </c>
      <c r="G92" s="2" t="s">
        <v>19</v>
      </c>
      <c r="H92" s="2" t="s">
        <v>12</v>
      </c>
    </row>
    <row r="93" spans="1:8" x14ac:dyDescent="0.3">
      <c r="A93" s="2" t="s">
        <v>151</v>
      </c>
      <c r="B93" s="2" t="s">
        <v>45</v>
      </c>
      <c r="C93" s="2" t="s">
        <v>52</v>
      </c>
      <c r="D93" s="2" t="str">
        <f>_xlfn.XLOOKUP(C93,Doctor!$A$1:$A$11,Doctor!$D$1:$D$11)</f>
        <v>David Taylor</v>
      </c>
      <c r="E93" s="4">
        <v>44956</v>
      </c>
      <c r="F93" s="1">
        <v>0.59375</v>
      </c>
      <c r="G93" s="2" t="s">
        <v>3</v>
      </c>
      <c r="H93" s="2" t="s">
        <v>4</v>
      </c>
    </row>
    <row r="94" spans="1:8" x14ac:dyDescent="0.3">
      <c r="A94" s="2" t="s">
        <v>152</v>
      </c>
      <c r="B94" s="2" t="s">
        <v>1</v>
      </c>
      <c r="C94" s="2" t="s">
        <v>52</v>
      </c>
      <c r="D94" s="2" t="str">
        <f>_xlfn.XLOOKUP(C94,Doctor!$A$1:$A$11,Doctor!$D$1:$D$11)</f>
        <v>David Taylor</v>
      </c>
      <c r="E94" s="4">
        <v>45025</v>
      </c>
      <c r="F94" s="1">
        <v>0.39583333333333331</v>
      </c>
      <c r="G94" s="2" t="s">
        <v>31</v>
      </c>
      <c r="H94" s="2" t="s">
        <v>34</v>
      </c>
    </row>
    <row r="95" spans="1:8" x14ac:dyDescent="0.3">
      <c r="A95" s="2" t="s">
        <v>153</v>
      </c>
      <c r="B95" s="2" t="s">
        <v>154</v>
      </c>
      <c r="C95" s="2" t="s">
        <v>41</v>
      </c>
      <c r="D95" s="2" t="str">
        <f>_xlfn.XLOOKUP(C95,Doctor!$A$1:$A$11,Doctor!$D$1:$D$11)</f>
        <v>Jane Davis</v>
      </c>
      <c r="E95" s="4">
        <v>45024</v>
      </c>
      <c r="F95" s="1">
        <v>0.36458333333333331</v>
      </c>
      <c r="G95" s="2" t="s">
        <v>11</v>
      </c>
      <c r="H95" s="2" t="s">
        <v>12</v>
      </c>
    </row>
    <row r="96" spans="1:8" x14ac:dyDescent="0.3">
      <c r="A96" s="2" t="s">
        <v>155</v>
      </c>
      <c r="B96" s="2" t="s">
        <v>156</v>
      </c>
      <c r="C96" s="2" t="s">
        <v>2</v>
      </c>
      <c r="D96" s="2" t="str">
        <f>_xlfn.XLOOKUP(C96,Doctor!$A$1:$A$11,Doctor!$D$1:$D$11)</f>
        <v>Sarah Smith</v>
      </c>
      <c r="E96" s="4">
        <v>45055</v>
      </c>
      <c r="F96" s="1">
        <v>0.42708333333333331</v>
      </c>
      <c r="G96" s="2" t="s">
        <v>3</v>
      </c>
      <c r="H96" s="2" t="s">
        <v>12</v>
      </c>
    </row>
    <row r="97" spans="1:8" x14ac:dyDescent="0.3">
      <c r="A97" s="2" t="s">
        <v>157</v>
      </c>
      <c r="B97" s="2" t="s">
        <v>99</v>
      </c>
      <c r="C97" s="2" t="s">
        <v>18</v>
      </c>
      <c r="D97" s="2" t="str">
        <f>_xlfn.XLOOKUP(C97,Doctor!$A$1:$A$11,Doctor!$D$1:$D$11)</f>
        <v>Jane Smith</v>
      </c>
      <c r="E97" s="4">
        <v>45114</v>
      </c>
      <c r="F97" s="1">
        <v>0.625</v>
      </c>
      <c r="G97" s="2" t="s">
        <v>11</v>
      </c>
      <c r="H97" s="2" t="s">
        <v>34</v>
      </c>
    </row>
    <row r="98" spans="1:8" x14ac:dyDescent="0.3">
      <c r="A98" s="2" t="s">
        <v>158</v>
      </c>
      <c r="B98" s="2" t="s">
        <v>116</v>
      </c>
      <c r="C98" s="2" t="s">
        <v>52</v>
      </c>
      <c r="D98" s="2" t="str">
        <f>_xlfn.XLOOKUP(C98,Doctor!$A$1:$A$11,Doctor!$D$1:$D$11)</f>
        <v>David Taylor</v>
      </c>
      <c r="E98" s="4">
        <v>45052</v>
      </c>
      <c r="F98" s="1">
        <v>0.61458333333333337</v>
      </c>
      <c r="G98" s="2" t="s">
        <v>31</v>
      </c>
      <c r="H98" s="2" t="s">
        <v>8</v>
      </c>
    </row>
    <row r="99" spans="1:8" x14ac:dyDescent="0.3">
      <c r="A99" s="2" t="s">
        <v>159</v>
      </c>
      <c r="B99" s="2" t="s">
        <v>21</v>
      </c>
      <c r="C99" s="2" t="s">
        <v>67</v>
      </c>
      <c r="D99" s="2" t="str">
        <f>_xlfn.XLOOKUP(C99,Doctor!$A$1:$A$11,Doctor!$D$1:$D$11)</f>
        <v>Sarah Taylor</v>
      </c>
      <c r="E99" s="4">
        <v>45002</v>
      </c>
      <c r="F99" s="1">
        <v>0.54166666666666663</v>
      </c>
      <c r="G99" s="2" t="s">
        <v>19</v>
      </c>
      <c r="H99" s="2" t="s">
        <v>34</v>
      </c>
    </row>
    <row r="100" spans="1:8" x14ac:dyDescent="0.3">
      <c r="A100" s="2" t="s">
        <v>160</v>
      </c>
      <c r="B100" s="2" t="s">
        <v>161</v>
      </c>
      <c r="C100" s="2" t="s">
        <v>25</v>
      </c>
      <c r="D100" s="2" t="str">
        <f>_xlfn.XLOOKUP(C100,Doctor!$A$1:$A$11,Doctor!$D$1:$D$11)</f>
        <v>Robert Davis</v>
      </c>
      <c r="E100" s="4">
        <v>45111</v>
      </c>
      <c r="F100" s="1">
        <v>0.625</v>
      </c>
      <c r="G100" s="2" t="s">
        <v>22</v>
      </c>
      <c r="H100" s="2" t="s">
        <v>34</v>
      </c>
    </row>
    <row r="101" spans="1:8" x14ac:dyDescent="0.3">
      <c r="A101" s="2" t="s">
        <v>162</v>
      </c>
      <c r="B101" s="2" t="s">
        <v>38</v>
      </c>
      <c r="C101" s="2" t="s">
        <v>15</v>
      </c>
      <c r="D101" s="2" t="str">
        <f>_xlfn.XLOOKUP(C101,Doctor!$A$1:$A$11,Doctor!$D$1:$D$11)</f>
        <v>Alex Davis</v>
      </c>
      <c r="E101" s="4">
        <v>44987</v>
      </c>
      <c r="F101" s="1">
        <v>0.33333333333333331</v>
      </c>
      <c r="G101" s="2" t="s">
        <v>19</v>
      </c>
      <c r="H101" s="2" t="s">
        <v>4</v>
      </c>
    </row>
    <row r="102" spans="1:8" x14ac:dyDescent="0.3">
      <c r="A102" s="2" t="s">
        <v>163</v>
      </c>
      <c r="B102" s="2" t="s">
        <v>77</v>
      </c>
      <c r="C102" s="2" t="s">
        <v>52</v>
      </c>
      <c r="D102" s="2" t="str">
        <f>_xlfn.XLOOKUP(C102,Doctor!$A$1:$A$11,Doctor!$D$1:$D$11)</f>
        <v>David Taylor</v>
      </c>
      <c r="E102" s="4">
        <v>45190</v>
      </c>
      <c r="F102" s="1">
        <v>0.55208333333333337</v>
      </c>
      <c r="G102" s="2" t="s">
        <v>3</v>
      </c>
      <c r="H102" s="2" t="s">
        <v>4</v>
      </c>
    </row>
    <row r="103" spans="1:8" x14ac:dyDescent="0.3">
      <c r="A103" s="2" t="s">
        <v>164</v>
      </c>
      <c r="B103" s="2" t="s">
        <v>14</v>
      </c>
      <c r="C103" s="2" t="s">
        <v>67</v>
      </c>
      <c r="D103" s="2" t="str">
        <f>_xlfn.XLOOKUP(C103,Doctor!$A$1:$A$11,Doctor!$D$1:$D$11)</f>
        <v>Sarah Taylor</v>
      </c>
      <c r="E103" s="4">
        <v>45224</v>
      </c>
      <c r="F103" s="1">
        <v>0.375</v>
      </c>
      <c r="G103" s="2" t="s">
        <v>22</v>
      </c>
      <c r="H103" s="2" t="s">
        <v>8</v>
      </c>
    </row>
    <row r="104" spans="1:8" x14ac:dyDescent="0.3">
      <c r="A104" s="2" t="s">
        <v>165</v>
      </c>
      <c r="B104" s="2" t="s">
        <v>74</v>
      </c>
      <c r="C104" s="2" t="s">
        <v>67</v>
      </c>
      <c r="D104" s="2" t="str">
        <f>_xlfn.XLOOKUP(C104,Doctor!$A$1:$A$11,Doctor!$D$1:$D$11)</f>
        <v>Sarah Taylor</v>
      </c>
      <c r="E104" s="4">
        <v>44950</v>
      </c>
      <c r="F104" s="1">
        <v>0.35416666666666669</v>
      </c>
      <c r="G104" s="2" t="s">
        <v>3</v>
      </c>
      <c r="H104" s="2" t="s">
        <v>12</v>
      </c>
    </row>
    <row r="105" spans="1:8" x14ac:dyDescent="0.3">
      <c r="A105" s="2" t="s">
        <v>166</v>
      </c>
      <c r="B105" s="2" t="s">
        <v>77</v>
      </c>
      <c r="C105" s="2" t="s">
        <v>15</v>
      </c>
      <c r="D105" s="2" t="str">
        <f>_xlfn.XLOOKUP(C105,Doctor!$A$1:$A$11,Doctor!$D$1:$D$11)</f>
        <v>Alex Davis</v>
      </c>
      <c r="E105" s="4">
        <v>45034</v>
      </c>
      <c r="F105" s="1">
        <v>0.36458333333333331</v>
      </c>
      <c r="G105" s="2" t="s">
        <v>31</v>
      </c>
      <c r="H105" s="2" t="s">
        <v>34</v>
      </c>
    </row>
    <row r="106" spans="1:8" x14ac:dyDescent="0.3">
      <c r="A106" s="2" t="s">
        <v>167</v>
      </c>
      <c r="B106" s="2" t="s">
        <v>85</v>
      </c>
      <c r="C106" s="2" t="s">
        <v>18</v>
      </c>
      <c r="D106" s="2" t="str">
        <f>_xlfn.XLOOKUP(C106,Doctor!$A$1:$A$11,Doctor!$D$1:$D$11)</f>
        <v>Jane Smith</v>
      </c>
      <c r="E106" s="4">
        <v>45152</v>
      </c>
      <c r="F106" s="1">
        <v>0.66666666666666663</v>
      </c>
      <c r="G106" s="2" t="s">
        <v>22</v>
      </c>
      <c r="H106" s="2" t="s">
        <v>8</v>
      </c>
    </row>
    <row r="107" spans="1:8" x14ac:dyDescent="0.3">
      <c r="A107" s="2" t="s">
        <v>168</v>
      </c>
      <c r="B107" s="2" t="s">
        <v>49</v>
      </c>
      <c r="C107" s="2" t="s">
        <v>67</v>
      </c>
      <c r="D107" s="2" t="str">
        <f>_xlfn.XLOOKUP(C107,Doctor!$A$1:$A$11,Doctor!$D$1:$D$11)</f>
        <v>Sarah Taylor</v>
      </c>
      <c r="E107" s="4">
        <v>45228</v>
      </c>
      <c r="F107" s="1">
        <v>0.46875</v>
      </c>
      <c r="G107" s="2" t="s">
        <v>3</v>
      </c>
      <c r="H107" s="2" t="s">
        <v>4</v>
      </c>
    </row>
    <row r="108" spans="1:8" x14ac:dyDescent="0.3">
      <c r="A108" s="2" t="s">
        <v>169</v>
      </c>
      <c r="B108" s="2" t="s">
        <v>170</v>
      </c>
      <c r="C108" s="2" t="s">
        <v>25</v>
      </c>
      <c r="D108" s="2" t="str">
        <f>_xlfn.XLOOKUP(C108,Doctor!$A$1:$A$11,Doctor!$D$1:$D$11)</f>
        <v>Robert Davis</v>
      </c>
      <c r="E108" s="4">
        <v>45033</v>
      </c>
      <c r="F108" s="1">
        <v>0.57291666666666663</v>
      </c>
      <c r="G108" s="2" t="s">
        <v>31</v>
      </c>
      <c r="H108" s="2" t="s">
        <v>34</v>
      </c>
    </row>
    <row r="109" spans="1:8" x14ac:dyDescent="0.3">
      <c r="A109" s="2" t="s">
        <v>171</v>
      </c>
      <c r="B109" s="2" t="s">
        <v>102</v>
      </c>
      <c r="C109" s="2" t="s">
        <v>67</v>
      </c>
      <c r="D109" s="2" t="str">
        <f>_xlfn.XLOOKUP(C109,Doctor!$A$1:$A$11,Doctor!$D$1:$D$11)</f>
        <v>Sarah Taylor</v>
      </c>
      <c r="E109" s="4">
        <v>45037</v>
      </c>
      <c r="F109" s="1">
        <v>0.625</v>
      </c>
      <c r="G109" s="2" t="s">
        <v>19</v>
      </c>
      <c r="H109" s="2" t="s">
        <v>12</v>
      </c>
    </row>
    <row r="110" spans="1:8" x14ac:dyDescent="0.3">
      <c r="A110" s="2" t="s">
        <v>172</v>
      </c>
      <c r="B110" s="2" t="s">
        <v>118</v>
      </c>
      <c r="C110" s="2" t="s">
        <v>67</v>
      </c>
      <c r="D110" s="2" t="str">
        <f>_xlfn.XLOOKUP(C110,Doctor!$A$1:$A$11,Doctor!$D$1:$D$11)</f>
        <v>Sarah Taylor</v>
      </c>
      <c r="E110" s="4">
        <v>45136</v>
      </c>
      <c r="F110" s="1">
        <v>0.58333333333333337</v>
      </c>
      <c r="G110" s="2" t="s">
        <v>31</v>
      </c>
      <c r="H110" s="2" t="s">
        <v>4</v>
      </c>
    </row>
    <row r="111" spans="1:8" x14ac:dyDescent="0.3">
      <c r="A111" s="2" t="s">
        <v>173</v>
      </c>
      <c r="B111" s="2" t="s">
        <v>61</v>
      </c>
      <c r="C111" s="2" t="s">
        <v>67</v>
      </c>
      <c r="D111" s="2" t="str">
        <f>_xlfn.XLOOKUP(C111,Doctor!$A$1:$A$11,Doctor!$D$1:$D$11)</f>
        <v>Sarah Taylor</v>
      </c>
      <c r="E111" s="4">
        <v>45126</v>
      </c>
      <c r="F111" s="1">
        <v>0.60416666666666663</v>
      </c>
      <c r="G111" s="2" t="s">
        <v>11</v>
      </c>
      <c r="H111" s="2" t="s">
        <v>4</v>
      </c>
    </row>
    <row r="112" spans="1:8" x14ac:dyDescent="0.3">
      <c r="A112" s="2" t="s">
        <v>174</v>
      </c>
      <c r="B112" s="2" t="s">
        <v>118</v>
      </c>
      <c r="C112" s="2" t="s">
        <v>28</v>
      </c>
      <c r="D112" s="2" t="str">
        <f>_xlfn.XLOOKUP(C112,Doctor!$A$1:$A$11,Doctor!$D$1:$D$11)</f>
        <v>Linda Wilson</v>
      </c>
      <c r="E112" s="4">
        <v>45068</v>
      </c>
      <c r="F112" s="1">
        <v>0.64583333333333337</v>
      </c>
      <c r="G112" s="2" t="s">
        <v>31</v>
      </c>
      <c r="H112" s="2" t="s">
        <v>4</v>
      </c>
    </row>
    <row r="113" spans="1:8" x14ac:dyDescent="0.3">
      <c r="A113" s="2" t="s">
        <v>175</v>
      </c>
      <c r="B113" s="2" t="s">
        <v>10</v>
      </c>
      <c r="C113" s="2" t="s">
        <v>28</v>
      </c>
      <c r="D113" s="2" t="str">
        <f>_xlfn.XLOOKUP(C113,Doctor!$A$1:$A$11,Doctor!$D$1:$D$11)</f>
        <v>Linda Wilson</v>
      </c>
      <c r="E113" s="4">
        <v>44937</v>
      </c>
      <c r="F113" s="1">
        <v>0.33333333333333331</v>
      </c>
      <c r="G113" s="2" t="s">
        <v>31</v>
      </c>
      <c r="H113" s="2" t="s">
        <v>8</v>
      </c>
    </row>
    <row r="114" spans="1:8" x14ac:dyDescent="0.3">
      <c r="A114" s="2" t="s">
        <v>176</v>
      </c>
      <c r="B114" s="2" t="s">
        <v>77</v>
      </c>
      <c r="C114" s="2" t="s">
        <v>18</v>
      </c>
      <c r="D114" s="2" t="str">
        <f>_xlfn.XLOOKUP(C114,Doctor!$A$1:$A$11,Doctor!$D$1:$D$11)</f>
        <v>Jane Smith</v>
      </c>
      <c r="E114" s="4">
        <v>45254</v>
      </c>
      <c r="F114" s="1">
        <v>0.64583333333333337</v>
      </c>
      <c r="G114" s="2" t="s">
        <v>11</v>
      </c>
      <c r="H114" s="2" t="s">
        <v>12</v>
      </c>
    </row>
    <row r="115" spans="1:8" x14ac:dyDescent="0.3">
      <c r="A115" s="2" t="s">
        <v>177</v>
      </c>
      <c r="B115" s="2" t="s">
        <v>178</v>
      </c>
      <c r="C115" s="2" t="s">
        <v>52</v>
      </c>
      <c r="D115" s="2" t="str">
        <f>_xlfn.XLOOKUP(C115,Doctor!$A$1:$A$11,Doctor!$D$1:$D$11)</f>
        <v>David Taylor</v>
      </c>
      <c r="E115" s="4">
        <v>45146</v>
      </c>
      <c r="F115" s="1">
        <v>0.375</v>
      </c>
      <c r="G115" s="2" t="s">
        <v>3</v>
      </c>
      <c r="H115" s="2" t="s">
        <v>34</v>
      </c>
    </row>
    <row r="116" spans="1:8" x14ac:dyDescent="0.3">
      <c r="A116" s="2" t="s">
        <v>179</v>
      </c>
      <c r="B116" s="2" t="s">
        <v>61</v>
      </c>
      <c r="C116" s="2" t="s">
        <v>67</v>
      </c>
      <c r="D116" s="2" t="str">
        <f>_xlfn.XLOOKUP(C116,Doctor!$A$1:$A$11,Doctor!$D$1:$D$11)</f>
        <v>Sarah Taylor</v>
      </c>
      <c r="E116" s="4">
        <v>45224</v>
      </c>
      <c r="F116" s="1">
        <v>0.4375</v>
      </c>
      <c r="G116" s="2" t="s">
        <v>3</v>
      </c>
      <c r="H116" s="2" t="s">
        <v>8</v>
      </c>
    </row>
    <row r="117" spans="1:8" x14ac:dyDescent="0.3">
      <c r="A117" s="2" t="s">
        <v>180</v>
      </c>
      <c r="B117" s="2" t="s">
        <v>30</v>
      </c>
      <c r="C117" s="2" t="s">
        <v>2</v>
      </c>
      <c r="D117" s="2" t="str">
        <f>_xlfn.XLOOKUP(C117,Doctor!$A$1:$A$11,Doctor!$D$1:$D$11)</f>
        <v>Sarah Smith</v>
      </c>
      <c r="E117" s="4">
        <v>45114</v>
      </c>
      <c r="F117" s="1">
        <v>0.38541666666666669</v>
      </c>
      <c r="G117" s="2" t="s">
        <v>31</v>
      </c>
      <c r="H117" s="2" t="s">
        <v>8</v>
      </c>
    </row>
    <row r="118" spans="1:8" x14ac:dyDescent="0.3">
      <c r="A118" s="2" t="s">
        <v>181</v>
      </c>
      <c r="B118" s="2" t="s">
        <v>6</v>
      </c>
      <c r="C118" s="2" t="s">
        <v>52</v>
      </c>
      <c r="D118" s="2" t="str">
        <f>_xlfn.XLOOKUP(C118,Doctor!$A$1:$A$11,Doctor!$D$1:$D$11)</f>
        <v>David Taylor</v>
      </c>
      <c r="E118" s="4">
        <v>45097</v>
      </c>
      <c r="F118" s="1">
        <v>0.57291666666666663</v>
      </c>
      <c r="G118" s="2" t="s">
        <v>11</v>
      </c>
      <c r="H118" s="2" t="s">
        <v>8</v>
      </c>
    </row>
    <row r="119" spans="1:8" x14ac:dyDescent="0.3">
      <c r="A119" s="2" t="s">
        <v>182</v>
      </c>
      <c r="B119" s="2" t="s">
        <v>102</v>
      </c>
      <c r="C119" s="2" t="s">
        <v>18</v>
      </c>
      <c r="D119" s="2" t="str">
        <f>_xlfn.XLOOKUP(C119,Doctor!$A$1:$A$11,Doctor!$D$1:$D$11)</f>
        <v>Jane Smith</v>
      </c>
      <c r="E119" s="4">
        <v>45147</v>
      </c>
      <c r="F119" s="1">
        <v>0.34375</v>
      </c>
      <c r="G119" s="2" t="s">
        <v>11</v>
      </c>
      <c r="H119" s="2" t="s">
        <v>4</v>
      </c>
    </row>
    <row r="120" spans="1:8" x14ac:dyDescent="0.3">
      <c r="A120" s="2" t="s">
        <v>183</v>
      </c>
      <c r="B120" s="2" t="s">
        <v>83</v>
      </c>
      <c r="C120" s="2" t="s">
        <v>7</v>
      </c>
      <c r="D120" s="2" t="str">
        <f>_xlfn.XLOOKUP(C120,Doctor!$A$1:$A$11,Doctor!$D$1:$D$11)</f>
        <v>David Jones</v>
      </c>
      <c r="E120" s="4">
        <v>45278</v>
      </c>
      <c r="F120" s="1">
        <v>0.5625</v>
      </c>
      <c r="G120" s="2" t="s">
        <v>19</v>
      </c>
      <c r="H120" s="2" t="s">
        <v>12</v>
      </c>
    </row>
    <row r="121" spans="1:8" x14ac:dyDescent="0.3">
      <c r="A121" s="2" t="s">
        <v>184</v>
      </c>
      <c r="B121" s="2" t="s">
        <v>6</v>
      </c>
      <c r="C121" s="2" t="s">
        <v>52</v>
      </c>
      <c r="D121" s="2" t="str">
        <f>_xlfn.XLOOKUP(C121,Doctor!$A$1:$A$11,Doctor!$D$1:$D$11)</f>
        <v>David Taylor</v>
      </c>
      <c r="E121" s="4">
        <v>45268</v>
      </c>
      <c r="F121" s="1">
        <v>0.45833333333333331</v>
      </c>
      <c r="G121" s="2" t="s">
        <v>3</v>
      </c>
      <c r="H121" s="2" t="s">
        <v>8</v>
      </c>
    </row>
    <row r="122" spans="1:8" x14ac:dyDescent="0.3">
      <c r="A122" s="2" t="s">
        <v>185</v>
      </c>
      <c r="B122" s="2" t="s">
        <v>49</v>
      </c>
      <c r="C122" s="2" t="s">
        <v>52</v>
      </c>
      <c r="D122" s="2" t="str">
        <f>_xlfn.XLOOKUP(C122,Doctor!$A$1:$A$11,Doctor!$D$1:$D$11)</f>
        <v>David Taylor</v>
      </c>
      <c r="E122" s="4">
        <v>45023</v>
      </c>
      <c r="F122" s="1">
        <v>0.625</v>
      </c>
      <c r="G122" s="2" t="s">
        <v>22</v>
      </c>
      <c r="H122" s="2" t="s">
        <v>34</v>
      </c>
    </row>
    <row r="123" spans="1:8" x14ac:dyDescent="0.3">
      <c r="A123" s="2" t="s">
        <v>186</v>
      </c>
      <c r="B123" s="2" t="s">
        <v>43</v>
      </c>
      <c r="C123" s="2" t="s">
        <v>47</v>
      </c>
      <c r="D123" s="2" t="str">
        <f>_xlfn.XLOOKUP(C123,Doctor!$A$1:$A$11,Doctor!$D$1:$D$11)</f>
        <v>Linda Brown</v>
      </c>
      <c r="E123" s="4">
        <v>45118</v>
      </c>
      <c r="F123" s="1">
        <v>0.60416666666666663</v>
      </c>
      <c r="G123" s="2" t="s">
        <v>3</v>
      </c>
      <c r="H123" s="2" t="s">
        <v>12</v>
      </c>
    </row>
    <row r="124" spans="1:8" x14ac:dyDescent="0.3">
      <c r="A124" s="2" t="s">
        <v>187</v>
      </c>
      <c r="B124" s="2" t="s">
        <v>61</v>
      </c>
      <c r="C124" s="2" t="s">
        <v>41</v>
      </c>
      <c r="D124" s="2" t="str">
        <f>_xlfn.XLOOKUP(C124,Doctor!$A$1:$A$11,Doctor!$D$1:$D$11)</f>
        <v>Jane Davis</v>
      </c>
      <c r="E124" s="4">
        <v>44985</v>
      </c>
      <c r="F124" s="1">
        <v>0.44791666666666669</v>
      </c>
      <c r="G124" s="2" t="s">
        <v>3</v>
      </c>
      <c r="H124" s="2" t="s">
        <v>34</v>
      </c>
    </row>
    <row r="125" spans="1:8" x14ac:dyDescent="0.3">
      <c r="A125" s="2" t="s">
        <v>188</v>
      </c>
      <c r="B125" s="2" t="s">
        <v>135</v>
      </c>
      <c r="C125" s="2" t="s">
        <v>47</v>
      </c>
      <c r="D125" s="2" t="str">
        <f>_xlfn.XLOOKUP(C125,Doctor!$A$1:$A$11,Doctor!$D$1:$D$11)</f>
        <v>Linda Brown</v>
      </c>
      <c r="E125" s="4">
        <v>45001</v>
      </c>
      <c r="F125" s="1">
        <v>0.71875</v>
      </c>
      <c r="G125" s="2" t="s">
        <v>19</v>
      </c>
      <c r="H125" s="2" t="s">
        <v>12</v>
      </c>
    </row>
    <row r="126" spans="1:8" x14ac:dyDescent="0.3">
      <c r="A126" s="2" t="s">
        <v>189</v>
      </c>
      <c r="B126" s="2" t="s">
        <v>83</v>
      </c>
      <c r="C126" s="2" t="s">
        <v>25</v>
      </c>
      <c r="D126" s="2" t="str">
        <f>_xlfn.XLOOKUP(C126,Doctor!$A$1:$A$11,Doctor!$D$1:$D$11)</f>
        <v>Robert Davis</v>
      </c>
      <c r="E126" s="4">
        <v>44975</v>
      </c>
      <c r="F126" s="1">
        <v>0.42708333333333331</v>
      </c>
      <c r="G126" s="2" t="s">
        <v>22</v>
      </c>
      <c r="H126" s="2" t="s">
        <v>34</v>
      </c>
    </row>
    <row r="127" spans="1:8" x14ac:dyDescent="0.3">
      <c r="A127" s="2" t="s">
        <v>190</v>
      </c>
      <c r="B127" s="2" t="s">
        <v>14</v>
      </c>
      <c r="C127" s="2" t="s">
        <v>28</v>
      </c>
      <c r="D127" s="2" t="str">
        <f>_xlfn.XLOOKUP(C127,Doctor!$A$1:$A$11,Doctor!$D$1:$D$11)</f>
        <v>Linda Wilson</v>
      </c>
      <c r="E127" s="4">
        <v>45232</v>
      </c>
      <c r="F127" s="1">
        <v>0.40625</v>
      </c>
      <c r="G127" s="2" t="s">
        <v>19</v>
      </c>
      <c r="H127" s="2" t="s">
        <v>4</v>
      </c>
    </row>
    <row r="128" spans="1:8" x14ac:dyDescent="0.3">
      <c r="A128" s="2" t="s">
        <v>191</v>
      </c>
      <c r="B128" s="2" t="s">
        <v>118</v>
      </c>
      <c r="C128" s="2" t="s">
        <v>28</v>
      </c>
      <c r="D128" s="2" t="str">
        <f>_xlfn.XLOOKUP(C128,Doctor!$A$1:$A$11,Doctor!$D$1:$D$11)</f>
        <v>Linda Wilson</v>
      </c>
      <c r="E128" s="4">
        <v>45243</v>
      </c>
      <c r="F128" s="1">
        <v>0.35416666666666669</v>
      </c>
      <c r="G128" s="2" t="s">
        <v>22</v>
      </c>
      <c r="H128" s="2" t="s">
        <v>8</v>
      </c>
    </row>
    <row r="129" spans="1:8" x14ac:dyDescent="0.3">
      <c r="A129" s="2" t="s">
        <v>192</v>
      </c>
      <c r="B129" s="2" t="s">
        <v>154</v>
      </c>
      <c r="C129" s="2" t="s">
        <v>41</v>
      </c>
      <c r="D129" s="2" t="str">
        <f>_xlfn.XLOOKUP(C129,Doctor!$A$1:$A$11,Doctor!$D$1:$D$11)</f>
        <v>Jane Davis</v>
      </c>
      <c r="E129" s="4">
        <v>45031</v>
      </c>
      <c r="F129" s="1">
        <v>0.61458333333333337</v>
      </c>
      <c r="G129" s="2" t="s">
        <v>31</v>
      </c>
      <c r="H129" s="2" t="s">
        <v>34</v>
      </c>
    </row>
    <row r="130" spans="1:8" x14ac:dyDescent="0.3">
      <c r="A130" s="2" t="s">
        <v>193</v>
      </c>
      <c r="B130" s="2" t="s">
        <v>63</v>
      </c>
      <c r="C130" s="2" t="s">
        <v>15</v>
      </c>
      <c r="D130" s="2" t="str">
        <f>_xlfn.XLOOKUP(C130,Doctor!$A$1:$A$11,Doctor!$D$1:$D$11)</f>
        <v>Alex Davis</v>
      </c>
      <c r="E130" s="4">
        <v>45163</v>
      </c>
      <c r="F130" s="1">
        <v>0.39583333333333331</v>
      </c>
      <c r="G130" s="2" t="s">
        <v>22</v>
      </c>
      <c r="H130" s="2" t="s">
        <v>12</v>
      </c>
    </row>
    <row r="131" spans="1:8" x14ac:dyDescent="0.3">
      <c r="A131" s="2" t="s">
        <v>194</v>
      </c>
      <c r="B131" s="2" t="s">
        <v>144</v>
      </c>
      <c r="C131" s="2" t="s">
        <v>15</v>
      </c>
      <c r="D131" s="2" t="str">
        <f>_xlfn.XLOOKUP(C131,Doctor!$A$1:$A$11,Doctor!$D$1:$D$11)</f>
        <v>Alex Davis</v>
      </c>
      <c r="E131" s="4">
        <v>44980</v>
      </c>
      <c r="F131" s="1">
        <v>0.625</v>
      </c>
      <c r="G131" s="2" t="s">
        <v>19</v>
      </c>
      <c r="H131" s="2" t="s">
        <v>8</v>
      </c>
    </row>
    <row r="132" spans="1:8" x14ac:dyDescent="0.3">
      <c r="A132" s="2" t="s">
        <v>195</v>
      </c>
      <c r="B132" s="2" t="s">
        <v>61</v>
      </c>
      <c r="C132" s="2" t="s">
        <v>18</v>
      </c>
      <c r="D132" s="2" t="str">
        <f>_xlfn.XLOOKUP(C132,Doctor!$A$1:$A$11,Doctor!$D$1:$D$11)</f>
        <v>Jane Smith</v>
      </c>
      <c r="E132" s="4">
        <v>45057</v>
      </c>
      <c r="F132" s="1">
        <v>0.6875</v>
      </c>
      <c r="G132" s="2" t="s">
        <v>3</v>
      </c>
      <c r="H132" s="2" t="s">
        <v>8</v>
      </c>
    </row>
    <row r="133" spans="1:8" x14ac:dyDescent="0.3">
      <c r="A133" s="2" t="s">
        <v>196</v>
      </c>
      <c r="B133" s="2" t="s">
        <v>112</v>
      </c>
      <c r="C133" s="2" t="s">
        <v>41</v>
      </c>
      <c r="D133" s="2" t="str">
        <f>_xlfn.XLOOKUP(C133,Doctor!$A$1:$A$11,Doctor!$D$1:$D$11)</f>
        <v>Jane Davis</v>
      </c>
      <c r="E133" s="4">
        <v>45133</v>
      </c>
      <c r="F133" s="1">
        <v>0.44791666666666669</v>
      </c>
      <c r="G133" s="2" t="s">
        <v>22</v>
      </c>
      <c r="H133" s="2" t="s">
        <v>12</v>
      </c>
    </row>
    <row r="134" spans="1:8" x14ac:dyDescent="0.3">
      <c r="A134" s="2" t="s">
        <v>197</v>
      </c>
      <c r="B134" s="2" t="s">
        <v>10</v>
      </c>
      <c r="C134" s="2" t="s">
        <v>52</v>
      </c>
      <c r="D134" s="2" t="str">
        <f>_xlfn.XLOOKUP(C134,Doctor!$A$1:$A$11,Doctor!$D$1:$D$11)</f>
        <v>David Taylor</v>
      </c>
      <c r="E134" s="4">
        <v>45008</v>
      </c>
      <c r="F134" s="1">
        <v>0.60416666666666663</v>
      </c>
      <c r="G134" s="2" t="s">
        <v>22</v>
      </c>
      <c r="H134" s="2" t="s">
        <v>34</v>
      </c>
    </row>
    <row r="135" spans="1:8" x14ac:dyDescent="0.3">
      <c r="A135" s="2" t="s">
        <v>198</v>
      </c>
      <c r="B135" s="2" t="s">
        <v>14</v>
      </c>
      <c r="C135" s="2" t="s">
        <v>15</v>
      </c>
      <c r="D135" s="2" t="str">
        <f>_xlfn.XLOOKUP(C135,Doctor!$A$1:$A$11,Doctor!$D$1:$D$11)</f>
        <v>Alex Davis</v>
      </c>
      <c r="E135" s="4">
        <v>45216</v>
      </c>
      <c r="F135" s="1">
        <v>0.63541666666666663</v>
      </c>
      <c r="G135" s="2" t="s">
        <v>11</v>
      </c>
      <c r="H135" s="2" t="s">
        <v>4</v>
      </c>
    </row>
    <row r="136" spans="1:8" x14ac:dyDescent="0.3">
      <c r="A136" s="2" t="s">
        <v>199</v>
      </c>
      <c r="B136" s="2" t="s">
        <v>36</v>
      </c>
      <c r="C136" s="2" t="s">
        <v>67</v>
      </c>
      <c r="D136" s="2" t="str">
        <f>_xlfn.XLOOKUP(C136,Doctor!$A$1:$A$11,Doctor!$D$1:$D$11)</f>
        <v>Sarah Taylor</v>
      </c>
      <c r="E136" s="4">
        <v>45178</v>
      </c>
      <c r="F136" s="1">
        <v>0.6875</v>
      </c>
      <c r="G136" s="2" t="s">
        <v>3</v>
      </c>
      <c r="H136" s="2" t="s">
        <v>4</v>
      </c>
    </row>
    <row r="137" spans="1:8" x14ac:dyDescent="0.3">
      <c r="A137" s="2" t="s">
        <v>200</v>
      </c>
      <c r="B137" s="2" t="s">
        <v>135</v>
      </c>
      <c r="C137" s="2" t="s">
        <v>2</v>
      </c>
      <c r="D137" s="2" t="str">
        <f>_xlfn.XLOOKUP(C137,Doctor!$A$1:$A$11,Doctor!$D$1:$D$11)</f>
        <v>Sarah Smith</v>
      </c>
      <c r="E137" s="4">
        <v>45059</v>
      </c>
      <c r="F137" s="1">
        <v>0.52083333333333337</v>
      </c>
      <c r="G137" s="2" t="s">
        <v>31</v>
      </c>
      <c r="H137" s="2" t="s">
        <v>34</v>
      </c>
    </row>
    <row r="138" spans="1:8" x14ac:dyDescent="0.3">
      <c r="A138" s="2" t="s">
        <v>201</v>
      </c>
      <c r="B138" s="2" t="s">
        <v>93</v>
      </c>
      <c r="C138" s="2" t="s">
        <v>52</v>
      </c>
      <c r="D138" s="2" t="str">
        <f>_xlfn.XLOOKUP(C138,Doctor!$A$1:$A$11,Doctor!$D$1:$D$11)</f>
        <v>David Taylor</v>
      </c>
      <c r="E138" s="4">
        <v>45224</v>
      </c>
      <c r="F138" s="1">
        <v>0.41666666666666669</v>
      </c>
      <c r="G138" s="2" t="s">
        <v>19</v>
      </c>
      <c r="H138" s="2" t="s">
        <v>8</v>
      </c>
    </row>
    <row r="139" spans="1:8" x14ac:dyDescent="0.3">
      <c r="A139" s="2" t="s">
        <v>202</v>
      </c>
      <c r="B139" s="2" t="s">
        <v>61</v>
      </c>
      <c r="C139" s="2" t="s">
        <v>25</v>
      </c>
      <c r="D139" s="2" t="str">
        <f>_xlfn.XLOOKUP(C139,Doctor!$A$1:$A$11,Doctor!$D$1:$D$11)</f>
        <v>Robert Davis</v>
      </c>
      <c r="E139" s="4">
        <v>45286</v>
      </c>
      <c r="F139" s="1">
        <v>0.63541666666666663</v>
      </c>
      <c r="G139" s="2" t="s">
        <v>31</v>
      </c>
      <c r="H139" s="2" t="s">
        <v>8</v>
      </c>
    </row>
    <row r="140" spans="1:8" x14ac:dyDescent="0.3">
      <c r="A140" s="2" t="s">
        <v>203</v>
      </c>
      <c r="B140" s="2" t="s">
        <v>77</v>
      </c>
      <c r="C140" s="2" t="s">
        <v>67</v>
      </c>
      <c r="D140" s="2" t="str">
        <f>_xlfn.XLOOKUP(C140,Doctor!$A$1:$A$11,Doctor!$D$1:$D$11)</f>
        <v>Sarah Taylor</v>
      </c>
      <c r="E140" s="4">
        <v>45209</v>
      </c>
      <c r="F140" s="1">
        <v>0.44791666666666669</v>
      </c>
      <c r="G140" s="2" t="s">
        <v>3</v>
      </c>
      <c r="H140" s="2" t="s">
        <v>8</v>
      </c>
    </row>
    <row r="141" spans="1:8" x14ac:dyDescent="0.3">
      <c r="A141" s="2" t="s">
        <v>204</v>
      </c>
      <c r="B141" s="2" t="s">
        <v>43</v>
      </c>
      <c r="C141" s="2" t="s">
        <v>67</v>
      </c>
      <c r="D141" s="2" t="str">
        <f>_xlfn.XLOOKUP(C141,Doctor!$A$1:$A$11,Doctor!$D$1:$D$11)</f>
        <v>Sarah Taylor</v>
      </c>
      <c r="E141" s="4">
        <v>44962</v>
      </c>
      <c r="F141" s="1">
        <v>0.63541666666666663</v>
      </c>
      <c r="G141" s="2" t="s">
        <v>22</v>
      </c>
      <c r="H141" s="2" t="s">
        <v>8</v>
      </c>
    </row>
    <row r="142" spans="1:8" x14ac:dyDescent="0.3">
      <c r="A142" s="2" t="s">
        <v>205</v>
      </c>
      <c r="B142" s="2" t="s">
        <v>154</v>
      </c>
      <c r="C142" s="2" t="s">
        <v>41</v>
      </c>
      <c r="D142" s="2" t="str">
        <f>_xlfn.XLOOKUP(C142,Doctor!$A$1:$A$11,Doctor!$D$1:$D$11)</f>
        <v>Jane Davis</v>
      </c>
      <c r="E142" s="4">
        <v>45092</v>
      </c>
      <c r="F142" s="1">
        <v>0.63541666666666663</v>
      </c>
      <c r="G142" s="2" t="s">
        <v>22</v>
      </c>
      <c r="H142" s="2" t="s">
        <v>34</v>
      </c>
    </row>
    <row r="143" spans="1:8" x14ac:dyDescent="0.3">
      <c r="A143" s="2" t="s">
        <v>206</v>
      </c>
      <c r="B143" s="2" t="s">
        <v>93</v>
      </c>
      <c r="C143" s="2" t="s">
        <v>18</v>
      </c>
      <c r="D143" s="2" t="str">
        <f>_xlfn.XLOOKUP(C143,Doctor!$A$1:$A$11,Doctor!$D$1:$D$11)</f>
        <v>Jane Smith</v>
      </c>
      <c r="E143" s="4">
        <v>45231</v>
      </c>
      <c r="F143" s="1">
        <v>0.48958333333333331</v>
      </c>
      <c r="G143" s="2" t="s">
        <v>3</v>
      </c>
      <c r="H143" s="2" t="s">
        <v>8</v>
      </c>
    </row>
    <row r="144" spans="1:8" x14ac:dyDescent="0.3">
      <c r="A144" s="2" t="s">
        <v>207</v>
      </c>
      <c r="B144" s="2" t="s">
        <v>43</v>
      </c>
      <c r="C144" s="2" t="s">
        <v>25</v>
      </c>
      <c r="D144" s="2" t="str">
        <f>_xlfn.XLOOKUP(C144,Doctor!$A$1:$A$11,Doctor!$D$1:$D$11)</f>
        <v>Robert Davis</v>
      </c>
      <c r="E144" s="4">
        <v>45190</v>
      </c>
      <c r="F144" s="1">
        <v>0.51041666666666663</v>
      </c>
      <c r="G144" s="2" t="s">
        <v>22</v>
      </c>
      <c r="H144" s="2" t="s">
        <v>12</v>
      </c>
    </row>
    <row r="145" spans="1:8" x14ac:dyDescent="0.3">
      <c r="A145" s="2" t="s">
        <v>208</v>
      </c>
      <c r="B145" s="2" t="s">
        <v>170</v>
      </c>
      <c r="C145" s="2" t="s">
        <v>15</v>
      </c>
      <c r="D145" s="2" t="str">
        <f>_xlfn.XLOOKUP(C145,Doctor!$A$1:$A$11,Doctor!$D$1:$D$11)</f>
        <v>Alex Davis</v>
      </c>
      <c r="E145" s="4">
        <v>45154</v>
      </c>
      <c r="F145" s="1">
        <v>0.51041666666666663</v>
      </c>
      <c r="G145" s="2" t="s">
        <v>22</v>
      </c>
      <c r="H145" s="2" t="s">
        <v>8</v>
      </c>
    </row>
    <row r="146" spans="1:8" x14ac:dyDescent="0.3">
      <c r="A146" s="2" t="s">
        <v>209</v>
      </c>
      <c r="B146" s="2" t="s">
        <v>156</v>
      </c>
      <c r="C146" s="2" t="s">
        <v>41</v>
      </c>
      <c r="D146" s="2" t="str">
        <f>_xlfn.XLOOKUP(C146,Doctor!$A$1:$A$11,Doctor!$D$1:$D$11)</f>
        <v>Jane Davis</v>
      </c>
      <c r="E146" s="4">
        <v>45241</v>
      </c>
      <c r="F146" s="1">
        <v>0.61458333333333337</v>
      </c>
      <c r="G146" s="2" t="s">
        <v>22</v>
      </c>
      <c r="H146" s="2" t="s">
        <v>4</v>
      </c>
    </row>
    <row r="147" spans="1:8" x14ac:dyDescent="0.3">
      <c r="A147" s="2" t="s">
        <v>210</v>
      </c>
      <c r="B147" s="2" t="s">
        <v>56</v>
      </c>
      <c r="C147" s="2" t="s">
        <v>15</v>
      </c>
      <c r="D147" s="2" t="str">
        <f>_xlfn.XLOOKUP(C147,Doctor!$A$1:$A$11,Doctor!$D$1:$D$11)</f>
        <v>Alex Davis</v>
      </c>
      <c r="E147" s="4">
        <v>44931</v>
      </c>
      <c r="F147" s="1">
        <v>0.39583333333333331</v>
      </c>
      <c r="G147" s="2" t="s">
        <v>19</v>
      </c>
      <c r="H147" s="2" t="s">
        <v>8</v>
      </c>
    </row>
    <row r="148" spans="1:8" x14ac:dyDescent="0.3">
      <c r="A148" s="2" t="s">
        <v>211</v>
      </c>
      <c r="B148" s="2" t="s">
        <v>54</v>
      </c>
      <c r="C148" s="2" t="s">
        <v>41</v>
      </c>
      <c r="D148" s="2" t="str">
        <f>_xlfn.XLOOKUP(C148,Doctor!$A$1:$A$11,Doctor!$D$1:$D$11)</f>
        <v>Jane Davis</v>
      </c>
      <c r="E148" s="4">
        <v>45243</v>
      </c>
      <c r="F148" s="1">
        <v>0.72916666666666663</v>
      </c>
      <c r="G148" s="2" t="s">
        <v>19</v>
      </c>
      <c r="H148" s="2" t="s">
        <v>34</v>
      </c>
    </row>
    <row r="149" spans="1:8" x14ac:dyDescent="0.3">
      <c r="A149" s="2" t="s">
        <v>212</v>
      </c>
      <c r="B149" s="2" t="s">
        <v>90</v>
      </c>
      <c r="C149" s="2" t="s">
        <v>41</v>
      </c>
      <c r="D149" s="2" t="str">
        <f>_xlfn.XLOOKUP(C149,Doctor!$A$1:$A$11,Doctor!$D$1:$D$11)</f>
        <v>Jane Davis</v>
      </c>
      <c r="E149" s="4">
        <v>45266</v>
      </c>
      <c r="F149" s="1">
        <v>0.35416666666666669</v>
      </c>
      <c r="G149" s="2" t="s">
        <v>11</v>
      </c>
      <c r="H149" s="2" t="s">
        <v>4</v>
      </c>
    </row>
    <row r="150" spans="1:8" x14ac:dyDescent="0.3">
      <c r="A150" s="2" t="s">
        <v>213</v>
      </c>
      <c r="B150" s="2" t="s">
        <v>93</v>
      </c>
      <c r="C150" s="2" t="s">
        <v>41</v>
      </c>
      <c r="D150" s="2" t="str">
        <f>_xlfn.XLOOKUP(C150,Doctor!$A$1:$A$11,Doctor!$D$1:$D$11)</f>
        <v>Jane Davis</v>
      </c>
      <c r="E150" s="4">
        <v>45133</v>
      </c>
      <c r="F150" s="1">
        <v>0.52083333333333337</v>
      </c>
      <c r="G150" s="2" t="s">
        <v>31</v>
      </c>
      <c r="H150" s="2" t="s">
        <v>34</v>
      </c>
    </row>
    <row r="151" spans="1:8" x14ac:dyDescent="0.3">
      <c r="A151" s="2" t="s">
        <v>214</v>
      </c>
      <c r="B151" s="2" t="s">
        <v>59</v>
      </c>
      <c r="C151" s="2" t="s">
        <v>18</v>
      </c>
      <c r="D151" s="2" t="str">
        <f>_xlfn.XLOOKUP(C151,Doctor!$A$1:$A$11,Doctor!$D$1:$D$11)</f>
        <v>Jane Smith</v>
      </c>
      <c r="E151" s="4">
        <v>45154</v>
      </c>
      <c r="F151" s="1">
        <v>0.44791666666666669</v>
      </c>
      <c r="G151" s="2" t="s">
        <v>3</v>
      </c>
      <c r="H151" s="2" t="s">
        <v>34</v>
      </c>
    </row>
    <row r="152" spans="1:8" x14ac:dyDescent="0.3">
      <c r="A152" s="2" t="s">
        <v>215</v>
      </c>
      <c r="B152" s="2" t="s">
        <v>27</v>
      </c>
      <c r="C152" s="2" t="s">
        <v>41</v>
      </c>
      <c r="D152" s="2" t="str">
        <f>_xlfn.XLOOKUP(C152,Doctor!$A$1:$A$11,Doctor!$D$1:$D$11)</f>
        <v>Jane Davis</v>
      </c>
      <c r="E152" s="4">
        <v>44954</v>
      </c>
      <c r="F152" s="1">
        <v>0.38541666666666669</v>
      </c>
      <c r="G152" s="2" t="s">
        <v>3</v>
      </c>
      <c r="H152" s="2" t="s">
        <v>4</v>
      </c>
    </row>
    <row r="153" spans="1:8" x14ac:dyDescent="0.3">
      <c r="A153" s="2" t="s">
        <v>216</v>
      </c>
      <c r="B153" s="2" t="s">
        <v>33</v>
      </c>
      <c r="C153" s="2" t="s">
        <v>7</v>
      </c>
      <c r="D153" s="2" t="str">
        <f>_xlfn.XLOOKUP(C153,Doctor!$A$1:$A$11,Doctor!$D$1:$D$11)</f>
        <v>David Jones</v>
      </c>
      <c r="E153" s="4">
        <v>45030</v>
      </c>
      <c r="F153" s="1">
        <v>0.35416666666666669</v>
      </c>
      <c r="G153" s="2" t="s">
        <v>3</v>
      </c>
      <c r="H153" s="2" t="s">
        <v>34</v>
      </c>
    </row>
    <row r="154" spans="1:8" x14ac:dyDescent="0.3">
      <c r="A154" s="2" t="s">
        <v>217</v>
      </c>
      <c r="B154" s="2" t="s">
        <v>118</v>
      </c>
      <c r="C154" s="2" t="s">
        <v>2</v>
      </c>
      <c r="D154" s="2" t="str">
        <f>_xlfn.XLOOKUP(C154,Doctor!$A$1:$A$11,Doctor!$D$1:$D$11)</f>
        <v>Sarah Smith</v>
      </c>
      <c r="E154" s="4">
        <v>45115</v>
      </c>
      <c r="F154" s="1">
        <v>0.53125</v>
      </c>
      <c r="G154" s="2" t="s">
        <v>11</v>
      </c>
      <c r="H154" s="2" t="s">
        <v>34</v>
      </c>
    </row>
    <row r="155" spans="1:8" x14ac:dyDescent="0.3">
      <c r="A155" s="2" t="s">
        <v>218</v>
      </c>
      <c r="B155" s="2" t="s">
        <v>43</v>
      </c>
      <c r="C155" s="2" t="s">
        <v>15</v>
      </c>
      <c r="D155" s="2" t="str">
        <f>_xlfn.XLOOKUP(C155,Doctor!$A$1:$A$11,Doctor!$D$1:$D$11)</f>
        <v>Alex Davis</v>
      </c>
      <c r="E155" s="4">
        <v>44991</v>
      </c>
      <c r="F155" s="1">
        <v>0.72916666666666663</v>
      </c>
      <c r="G155" s="2" t="s">
        <v>19</v>
      </c>
      <c r="H155" s="2" t="s">
        <v>8</v>
      </c>
    </row>
    <row r="156" spans="1:8" x14ac:dyDescent="0.3">
      <c r="A156" s="2" t="s">
        <v>219</v>
      </c>
      <c r="B156" s="2" t="s">
        <v>14</v>
      </c>
      <c r="C156" s="2" t="s">
        <v>52</v>
      </c>
      <c r="D156" s="2" t="str">
        <f>_xlfn.XLOOKUP(C156,Doctor!$A$1:$A$11,Doctor!$D$1:$D$11)</f>
        <v>David Taylor</v>
      </c>
      <c r="E156" s="4">
        <v>44929</v>
      </c>
      <c r="F156" s="1">
        <v>0.39583333333333331</v>
      </c>
      <c r="G156" s="2" t="s">
        <v>11</v>
      </c>
      <c r="H156" s="2" t="s">
        <v>12</v>
      </c>
    </row>
    <row r="157" spans="1:8" x14ac:dyDescent="0.3">
      <c r="A157" s="2" t="s">
        <v>220</v>
      </c>
      <c r="B157" s="2" t="s">
        <v>74</v>
      </c>
      <c r="C157" s="2" t="s">
        <v>47</v>
      </c>
      <c r="D157" s="2" t="str">
        <f>_xlfn.XLOOKUP(C157,Doctor!$A$1:$A$11,Doctor!$D$1:$D$11)</f>
        <v>Linda Brown</v>
      </c>
      <c r="E157" s="4">
        <v>45252</v>
      </c>
      <c r="F157" s="1">
        <v>0.60416666666666663</v>
      </c>
      <c r="G157" s="2" t="s">
        <v>3</v>
      </c>
      <c r="H157" s="2" t="s">
        <v>34</v>
      </c>
    </row>
    <row r="158" spans="1:8" x14ac:dyDescent="0.3">
      <c r="A158" s="2" t="s">
        <v>221</v>
      </c>
      <c r="B158" s="2" t="s">
        <v>77</v>
      </c>
      <c r="C158" s="2" t="s">
        <v>25</v>
      </c>
      <c r="D158" s="2" t="str">
        <f>_xlfn.XLOOKUP(C158,Doctor!$A$1:$A$11,Doctor!$D$1:$D$11)</f>
        <v>Robert Davis</v>
      </c>
      <c r="E158" s="4">
        <v>45058</v>
      </c>
      <c r="F158" s="1">
        <v>0.45833333333333331</v>
      </c>
      <c r="G158" s="2" t="s">
        <v>31</v>
      </c>
      <c r="H158" s="2" t="s">
        <v>34</v>
      </c>
    </row>
    <row r="159" spans="1:8" x14ac:dyDescent="0.3">
      <c r="A159" s="2" t="s">
        <v>222</v>
      </c>
      <c r="B159" s="2" t="s">
        <v>83</v>
      </c>
      <c r="C159" s="2" t="s">
        <v>28</v>
      </c>
      <c r="D159" s="2" t="str">
        <f>_xlfn.XLOOKUP(C159,Doctor!$A$1:$A$11,Doctor!$D$1:$D$11)</f>
        <v>Linda Wilson</v>
      </c>
      <c r="E159" s="4">
        <v>45119</v>
      </c>
      <c r="F159" s="1">
        <v>0.51041666666666663</v>
      </c>
      <c r="G159" s="2" t="s">
        <v>22</v>
      </c>
      <c r="H159" s="2" t="s">
        <v>34</v>
      </c>
    </row>
    <row r="160" spans="1:8" x14ac:dyDescent="0.3">
      <c r="A160" s="2" t="s">
        <v>223</v>
      </c>
      <c r="B160" s="2" t="s">
        <v>27</v>
      </c>
      <c r="C160" s="2" t="s">
        <v>18</v>
      </c>
      <c r="D160" s="2" t="str">
        <f>_xlfn.XLOOKUP(C160,Doctor!$A$1:$A$11,Doctor!$D$1:$D$11)</f>
        <v>Jane Smith</v>
      </c>
      <c r="E160" s="4">
        <v>45024</v>
      </c>
      <c r="F160" s="1">
        <v>0.67708333333333337</v>
      </c>
      <c r="G160" s="2" t="s">
        <v>19</v>
      </c>
      <c r="H160" s="2" t="s">
        <v>8</v>
      </c>
    </row>
    <row r="161" spans="1:8" x14ac:dyDescent="0.3">
      <c r="A161" s="2" t="s">
        <v>224</v>
      </c>
      <c r="B161" s="2" t="s">
        <v>30</v>
      </c>
      <c r="C161" s="2" t="s">
        <v>52</v>
      </c>
      <c r="D161" s="2" t="str">
        <f>_xlfn.XLOOKUP(C161,Doctor!$A$1:$A$11,Doctor!$D$1:$D$11)</f>
        <v>David Taylor</v>
      </c>
      <c r="E161" s="4">
        <v>45277</v>
      </c>
      <c r="F161" s="1">
        <v>0.53125</v>
      </c>
      <c r="G161" s="2" t="s">
        <v>19</v>
      </c>
      <c r="H161" s="2" t="s">
        <v>12</v>
      </c>
    </row>
    <row r="162" spans="1:8" x14ac:dyDescent="0.3">
      <c r="A162" s="2" t="s">
        <v>225</v>
      </c>
      <c r="B162" s="2" t="s">
        <v>21</v>
      </c>
      <c r="C162" s="2" t="s">
        <v>67</v>
      </c>
      <c r="D162" s="2" t="str">
        <f>_xlfn.XLOOKUP(C162,Doctor!$A$1:$A$11,Doctor!$D$1:$D$11)</f>
        <v>Sarah Taylor</v>
      </c>
      <c r="E162" s="4">
        <v>45094</v>
      </c>
      <c r="F162" s="1">
        <v>0.44791666666666669</v>
      </c>
      <c r="G162" s="2" t="s">
        <v>11</v>
      </c>
      <c r="H162" s="2" t="s">
        <v>4</v>
      </c>
    </row>
    <row r="163" spans="1:8" x14ac:dyDescent="0.3">
      <c r="A163" s="2" t="s">
        <v>226</v>
      </c>
      <c r="B163" s="2" t="s">
        <v>227</v>
      </c>
      <c r="C163" s="2" t="s">
        <v>7</v>
      </c>
      <c r="D163" s="2" t="str">
        <f>_xlfn.XLOOKUP(C163,Doctor!$A$1:$A$11,Doctor!$D$1:$D$11)</f>
        <v>David Jones</v>
      </c>
      <c r="E163" s="4">
        <v>44927</v>
      </c>
      <c r="F163" s="1">
        <v>0.71875</v>
      </c>
      <c r="G163" s="2" t="s">
        <v>19</v>
      </c>
      <c r="H163" s="2" t="s">
        <v>8</v>
      </c>
    </row>
    <row r="164" spans="1:8" x14ac:dyDescent="0.3">
      <c r="A164" s="2" t="s">
        <v>228</v>
      </c>
      <c r="B164" s="2" t="s">
        <v>30</v>
      </c>
      <c r="C164" s="2" t="s">
        <v>28</v>
      </c>
      <c r="D164" s="2" t="str">
        <f>_xlfn.XLOOKUP(C164,Doctor!$A$1:$A$11,Doctor!$D$1:$D$11)</f>
        <v>Linda Wilson</v>
      </c>
      <c r="E164" s="4">
        <v>45104</v>
      </c>
      <c r="F164" s="1">
        <v>0.625</v>
      </c>
      <c r="G164" s="2" t="s">
        <v>3</v>
      </c>
      <c r="H164" s="2" t="s">
        <v>8</v>
      </c>
    </row>
    <row r="165" spans="1:8" x14ac:dyDescent="0.3">
      <c r="A165" s="2" t="s">
        <v>229</v>
      </c>
      <c r="B165" s="2" t="s">
        <v>54</v>
      </c>
      <c r="C165" s="2" t="s">
        <v>47</v>
      </c>
      <c r="D165" s="2" t="str">
        <f>_xlfn.XLOOKUP(C165,Doctor!$A$1:$A$11,Doctor!$D$1:$D$11)</f>
        <v>Linda Brown</v>
      </c>
      <c r="E165" s="4">
        <v>45135</v>
      </c>
      <c r="F165" s="1">
        <v>0.71875</v>
      </c>
      <c r="G165" s="2" t="s">
        <v>3</v>
      </c>
      <c r="H165" s="2" t="s">
        <v>12</v>
      </c>
    </row>
    <row r="166" spans="1:8" x14ac:dyDescent="0.3">
      <c r="A166" s="2" t="s">
        <v>230</v>
      </c>
      <c r="B166" s="2" t="s">
        <v>90</v>
      </c>
      <c r="C166" s="2" t="s">
        <v>52</v>
      </c>
      <c r="D166" s="2" t="str">
        <f>_xlfn.XLOOKUP(C166,Doctor!$A$1:$A$11,Doctor!$D$1:$D$11)</f>
        <v>David Taylor</v>
      </c>
      <c r="E166" s="4">
        <v>45020</v>
      </c>
      <c r="F166" s="1">
        <v>0.64583333333333337</v>
      </c>
      <c r="G166" s="2" t="s">
        <v>11</v>
      </c>
      <c r="H166" s="2" t="s">
        <v>12</v>
      </c>
    </row>
    <row r="167" spans="1:8" x14ac:dyDescent="0.3">
      <c r="A167" s="2" t="s">
        <v>231</v>
      </c>
      <c r="B167" s="2" t="s">
        <v>33</v>
      </c>
      <c r="C167" s="2" t="s">
        <v>28</v>
      </c>
      <c r="D167" s="2" t="str">
        <f>_xlfn.XLOOKUP(C167,Doctor!$A$1:$A$11,Doctor!$D$1:$D$11)</f>
        <v>Linda Wilson</v>
      </c>
      <c r="E167" s="4">
        <v>44938</v>
      </c>
      <c r="F167" s="1">
        <v>0.61458333333333337</v>
      </c>
      <c r="G167" s="2" t="s">
        <v>3</v>
      </c>
      <c r="H167" s="2" t="s">
        <v>8</v>
      </c>
    </row>
    <row r="168" spans="1:8" x14ac:dyDescent="0.3">
      <c r="A168" s="2" t="s">
        <v>232</v>
      </c>
      <c r="B168" s="2" t="s">
        <v>118</v>
      </c>
      <c r="C168" s="2" t="s">
        <v>52</v>
      </c>
      <c r="D168" s="2" t="str">
        <f>_xlfn.XLOOKUP(C168,Doctor!$A$1:$A$11,Doctor!$D$1:$D$11)</f>
        <v>David Taylor</v>
      </c>
      <c r="E168" s="4">
        <v>45245</v>
      </c>
      <c r="F168" s="1">
        <v>0.34375</v>
      </c>
      <c r="G168" s="2" t="s">
        <v>31</v>
      </c>
      <c r="H168" s="2" t="s">
        <v>4</v>
      </c>
    </row>
    <row r="169" spans="1:8" x14ac:dyDescent="0.3">
      <c r="A169" s="2" t="s">
        <v>233</v>
      </c>
      <c r="B169" s="2" t="s">
        <v>83</v>
      </c>
      <c r="C169" s="2" t="s">
        <v>7</v>
      </c>
      <c r="D169" s="2" t="str">
        <f>_xlfn.XLOOKUP(C169,Doctor!$A$1:$A$11,Doctor!$D$1:$D$11)</f>
        <v>David Jones</v>
      </c>
      <c r="E169" s="4">
        <v>45198</v>
      </c>
      <c r="F169" s="1">
        <v>0.41666666666666669</v>
      </c>
      <c r="G169" s="2" t="s">
        <v>11</v>
      </c>
      <c r="H169" s="2" t="s">
        <v>8</v>
      </c>
    </row>
    <row r="170" spans="1:8" x14ac:dyDescent="0.3">
      <c r="A170" s="2" t="s">
        <v>234</v>
      </c>
      <c r="B170" s="2" t="s">
        <v>38</v>
      </c>
      <c r="C170" s="2" t="s">
        <v>47</v>
      </c>
      <c r="D170" s="2" t="str">
        <f>_xlfn.XLOOKUP(C170,Doctor!$A$1:$A$11,Doctor!$D$1:$D$11)</f>
        <v>Linda Brown</v>
      </c>
      <c r="E170" s="4">
        <v>45131</v>
      </c>
      <c r="F170" s="1">
        <v>0.69791666666666663</v>
      </c>
      <c r="G170" s="2" t="s">
        <v>31</v>
      </c>
      <c r="H170" s="2" t="s">
        <v>12</v>
      </c>
    </row>
    <row r="171" spans="1:8" x14ac:dyDescent="0.3">
      <c r="A171" s="2" t="s">
        <v>235</v>
      </c>
      <c r="B171" s="2" t="s">
        <v>122</v>
      </c>
      <c r="C171" s="2" t="s">
        <v>67</v>
      </c>
      <c r="D171" s="2" t="str">
        <f>_xlfn.XLOOKUP(C171,Doctor!$A$1:$A$11,Doctor!$D$1:$D$11)</f>
        <v>Sarah Taylor</v>
      </c>
      <c r="E171" s="4">
        <v>44988</v>
      </c>
      <c r="F171" s="1">
        <v>0.375</v>
      </c>
      <c r="G171" s="2" t="s">
        <v>22</v>
      </c>
      <c r="H171" s="2" t="s">
        <v>4</v>
      </c>
    </row>
    <row r="172" spans="1:8" x14ac:dyDescent="0.3">
      <c r="A172" s="2" t="s">
        <v>236</v>
      </c>
      <c r="B172" s="2" t="s">
        <v>161</v>
      </c>
      <c r="C172" s="2" t="s">
        <v>41</v>
      </c>
      <c r="D172" s="2" t="str">
        <f>_xlfn.XLOOKUP(C172,Doctor!$A$1:$A$11,Doctor!$D$1:$D$11)</f>
        <v>Jane Davis</v>
      </c>
      <c r="E172" s="4">
        <v>45034</v>
      </c>
      <c r="F172" s="1">
        <v>0.6875</v>
      </c>
      <c r="G172" s="2" t="s">
        <v>31</v>
      </c>
      <c r="H172" s="2" t="s">
        <v>12</v>
      </c>
    </row>
    <row r="173" spans="1:8" x14ac:dyDescent="0.3">
      <c r="A173" s="2" t="s">
        <v>237</v>
      </c>
      <c r="B173" s="2" t="s">
        <v>178</v>
      </c>
      <c r="C173" s="2" t="s">
        <v>15</v>
      </c>
      <c r="D173" s="2" t="str">
        <f>_xlfn.XLOOKUP(C173,Doctor!$A$1:$A$11,Doctor!$D$1:$D$11)</f>
        <v>Alex Davis</v>
      </c>
      <c r="E173" s="4">
        <v>44994</v>
      </c>
      <c r="F173" s="1">
        <v>0.67708333333333337</v>
      </c>
      <c r="G173" s="2" t="s">
        <v>22</v>
      </c>
      <c r="H173" s="2" t="s">
        <v>4</v>
      </c>
    </row>
    <row r="174" spans="1:8" x14ac:dyDescent="0.3">
      <c r="A174" s="2" t="s">
        <v>238</v>
      </c>
      <c r="B174" s="2" t="s">
        <v>59</v>
      </c>
      <c r="C174" s="2" t="s">
        <v>67</v>
      </c>
      <c r="D174" s="2" t="str">
        <f>_xlfn.XLOOKUP(C174,Doctor!$A$1:$A$11,Doctor!$D$1:$D$11)</f>
        <v>Sarah Taylor</v>
      </c>
      <c r="E174" s="4">
        <v>45081</v>
      </c>
      <c r="F174" s="1">
        <v>0.5625</v>
      </c>
      <c r="G174" s="2" t="s">
        <v>22</v>
      </c>
      <c r="H174" s="2" t="s">
        <v>34</v>
      </c>
    </row>
    <row r="175" spans="1:8" x14ac:dyDescent="0.3">
      <c r="A175" s="2" t="s">
        <v>239</v>
      </c>
      <c r="B175" s="2" t="s">
        <v>43</v>
      </c>
      <c r="C175" s="2" t="s">
        <v>41</v>
      </c>
      <c r="D175" s="2" t="str">
        <f>_xlfn.XLOOKUP(C175,Doctor!$A$1:$A$11,Doctor!$D$1:$D$11)</f>
        <v>Jane Davis</v>
      </c>
      <c r="E175" s="4">
        <v>45230</v>
      </c>
      <c r="F175" s="1">
        <v>0.46875</v>
      </c>
      <c r="G175" s="2" t="s">
        <v>31</v>
      </c>
      <c r="H175" s="2" t="s">
        <v>12</v>
      </c>
    </row>
    <row r="176" spans="1:8" x14ac:dyDescent="0.3">
      <c r="A176" s="2" t="s">
        <v>240</v>
      </c>
      <c r="B176" s="2" t="s">
        <v>170</v>
      </c>
      <c r="C176" s="2" t="s">
        <v>18</v>
      </c>
      <c r="D176" s="2" t="str">
        <f>_xlfn.XLOOKUP(C176,Doctor!$A$1:$A$11,Doctor!$D$1:$D$11)</f>
        <v>Jane Smith</v>
      </c>
      <c r="E176" s="4">
        <v>45221</v>
      </c>
      <c r="F176" s="1">
        <v>0.70833333333333337</v>
      </c>
      <c r="G176" s="2" t="s">
        <v>11</v>
      </c>
      <c r="H176" s="2" t="s">
        <v>12</v>
      </c>
    </row>
    <row r="177" spans="1:8" x14ac:dyDescent="0.3">
      <c r="A177" s="2" t="s">
        <v>241</v>
      </c>
      <c r="B177" s="2" t="s">
        <v>85</v>
      </c>
      <c r="C177" s="2" t="s">
        <v>2</v>
      </c>
      <c r="D177" s="2" t="str">
        <f>_xlfn.XLOOKUP(C177,Doctor!$A$1:$A$11,Doctor!$D$1:$D$11)</f>
        <v>Sarah Smith</v>
      </c>
      <c r="E177" s="4">
        <v>45042</v>
      </c>
      <c r="F177" s="1">
        <v>0.39583333333333331</v>
      </c>
      <c r="G177" s="2" t="s">
        <v>3</v>
      </c>
      <c r="H177" s="2" t="s">
        <v>8</v>
      </c>
    </row>
    <row r="178" spans="1:8" x14ac:dyDescent="0.3">
      <c r="A178" s="2" t="s">
        <v>242</v>
      </c>
      <c r="B178" s="2" t="s">
        <v>132</v>
      </c>
      <c r="C178" s="2" t="s">
        <v>25</v>
      </c>
      <c r="D178" s="2" t="str">
        <f>_xlfn.XLOOKUP(C178,Doctor!$A$1:$A$11,Doctor!$D$1:$D$11)</f>
        <v>Robert Davis</v>
      </c>
      <c r="E178" s="4">
        <v>45154</v>
      </c>
      <c r="F178" s="1">
        <v>0.52083333333333337</v>
      </c>
      <c r="G178" s="2" t="s">
        <v>3</v>
      </c>
      <c r="H178" s="2" t="s">
        <v>12</v>
      </c>
    </row>
    <row r="179" spans="1:8" x14ac:dyDescent="0.3">
      <c r="A179" s="2" t="s">
        <v>243</v>
      </c>
      <c r="B179" s="2" t="s">
        <v>144</v>
      </c>
      <c r="C179" s="2" t="s">
        <v>25</v>
      </c>
      <c r="D179" s="2" t="str">
        <f>_xlfn.XLOOKUP(C179,Doctor!$A$1:$A$11,Doctor!$D$1:$D$11)</f>
        <v>Robert Davis</v>
      </c>
      <c r="E179" s="4">
        <v>44943</v>
      </c>
      <c r="F179" s="1">
        <v>0.55208333333333337</v>
      </c>
      <c r="G179" s="2" t="s">
        <v>22</v>
      </c>
      <c r="H179" s="2" t="s">
        <v>12</v>
      </c>
    </row>
    <row r="180" spans="1:8" x14ac:dyDescent="0.3">
      <c r="A180" s="2" t="s">
        <v>244</v>
      </c>
      <c r="B180" s="2" t="s">
        <v>245</v>
      </c>
      <c r="C180" s="2" t="s">
        <v>15</v>
      </c>
      <c r="D180" s="2" t="str">
        <f>_xlfn.XLOOKUP(C180,Doctor!$A$1:$A$11,Doctor!$D$1:$D$11)</f>
        <v>Alex Davis</v>
      </c>
      <c r="E180" s="4">
        <v>44993</v>
      </c>
      <c r="F180" s="1">
        <v>0.51041666666666663</v>
      </c>
      <c r="G180" s="2" t="s">
        <v>22</v>
      </c>
      <c r="H180" s="2" t="s">
        <v>34</v>
      </c>
    </row>
    <row r="181" spans="1:8" x14ac:dyDescent="0.3">
      <c r="A181" s="2" t="s">
        <v>246</v>
      </c>
      <c r="B181" s="2" t="s">
        <v>156</v>
      </c>
      <c r="C181" s="2" t="s">
        <v>47</v>
      </c>
      <c r="D181" s="2" t="str">
        <f>_xlfn.XLOOKUP(C181,Doctor!$A$1:$A$11,Doctor!$D$1:$D$11)</f>
        <v>Linda Brown</v>
      </c>
      <c r="E181" s="4">
        <v>44933</v>
      </c>
      <c r="F181" s="1">
        <v>0.45833333333333331</v>
      </c>
      <c r="G181" s="2" t="s">
        <v>11</v>
      </c>
      <c r="H181" s="2" t="s">
        <v>12</v>
      </c>
    </row>
    <row r="182" spans="1:8" x14ac:dyDescent="0.3">
      <c r="A182" s="2" t="s">
        <v>247</v>
      </c>
      <c r="B182" s="2" t="s">
        <v>65</v>
      </c>
      <c r="C182" s="2" t="s">
        <v>7</v>
      </c>
      <c r="D182" s="2" t="str">
        <f>_xlfn.XLOOKUP(C182,Doctor!$A$1:$A$11,Doctor!$D$1:$D$11)</f>
        <v>David Jones</v>
      </c>
      <c r="E182" s="4">
        <v>45172</v>
      </c>
      <c r="F182" s="1">
        <v>0.55208333333333337</v>
      </c>
      <c r="G182" s="2" t="s">
        <v>19</v>
      </c>
      <c r="H182" s="2" t="s">
        <v>34</v>
      </c>
    </row>
    <row r="183" spans="1:8" x14ac:dyDescent="0.3">
      <c r="A183" s="2" t="s">
        <v>248</v>
      </c>
      <c r="B183" s="2" t="s">
        <v>135</v>
      </c>
      <c r="C183" s="2" t="s">
        <v>47</v>
      </c>
      <c r="D183" s="2" t="str">
        <f>_xlfn.XLOOKUP(C183,Doctor!$A$1:$A$11,Doctor!$D$1:$D$11)</f>
        <v>Linda Brown</v>
      </c>
      <c r="E183" s="4">
        <v>45028</v>
      </c>
      <c r="F183" s="1">
        <v>0.33333333333333331</v>
      </c>
      <c r="G183" s="2" t="s">
        <v>31</v>
      </c>
      <c r="H183" s="2" t="s">
        <v>34</v>
      </c>
    </row>
    <row r="184" spans="1:8" x14ac:dyDescent="0.3">
      <c r="A184" s="2" t="s">
        <v>249</v>
      </c>
      <c r="B184" s="2" t="s">
        <v>17</v>
      </c>
      <c r="C184" s="2" t="s">
        <v>7</v>
      </c>
      <c r="D184" s="2" t="str">
        <f>_xlfn.XLOOKUP(C184,Doctor!$A$1:$A$11,Doctor!$D$1:$D$11)</f>
        <v>David Jones</v>
      </c>
      <c r="E184" s="4">
        <v>44960</v>
      </c>
      <c r="F184" s="1">
        <v>0.67708333333333337</v>
      </c>
      <c r="G184" s="2" t="s">
        <v>22</v>
      </c>
      <c r="H184" s="2" t="s">
        <v>34</v>
      </c>
    </row>
    <row r="185" spans="1:8" x14ac:dyDescent="0.3">
      <c r="A185" s="2" t="s">
        <v>250</v>
      </c>
      <c r="B185" s="2" t="s">
        <v>227</v>
      </c>
      <c r="C185" s="2" t="s">
        <v>47</v>
      </c>
      <c r="D185" s="2" t="str">
        <f>_xlfn.XLOOKUP(C185,Doctor!$A$1:$A$11,Doctor!$D$1:$D$11)</f>
        <v>Linda Brown</v>
      </c>
      <c r="E185" s="4">
        <v>44983</v>
      </c>
      <c r="F185" s="1">
        <v>0.73958333333333337</v>
      </c>
      <c r="G185" s="2" t="s">
        <v>3</v>
      </c>
      <c r="H185" s="2" t="s">
        <v>34</v>
      </c>
    </row>
    <row r="186" spans="1:8" x14ac:dyDescent="0.3">
      <c r="A186" s="2" t="s">
        <v>251</v>
      </c>
      <c r="B186" s="2" t="s">
        <v>170</v>
      </c>
      <c r="C186" s="2" t="s">
        <v>2</v>
      </c>
      <c r="D186" s="2" t="str">
        <f>_xlfn.XLOOKUP(C186,Doctor!$A$1:$A$11,Doctor!$D$1:$D$11)</f>
        <v>Sarah Smith</v>
      </c>
      <c r="E186" s="4">
        <v>45006</v>
      </c>
      <c r="F186" s="1">
        <v>0.58333333333333337</v>
      </c>
      <c r="G186" s="2" t="s">
        <v>11</v>
      </c>
      <c r="H186" s="2" t="s">
        <v>4</v>
      </c>
    </row>
    <row r="187" spans="1:8" x14ac:dyDescent="0.3">
      <c r="A187" s="2" t="s">
        <v>252</v>
      </c>
      <c r="B187" s="2" t="s">
        <v>116</v>
      </c>
      <c r="C187" s="2" t="s">
        <v>18</v>
      </c>
      <c r="D187" s="2" t="str">
        <f>_xlfn.XLOOKUP(C187,Doctor!$A$1:$A$11,Doctor!$D$1:$D$11)</f>
        <v>Jane Smith</v>
      </c>
      <c r="E187" s="4">
        <v>45012</v>
      </c>
      <c r="F187" s="1">
        <v>0.71875</v>
      </c>
      <c r="G187" s="2" t="s">
        <v>31</v>
      </c>
      <c r="H187" s="2" t="s">
        <v>8</v>
      </c>
    </row>
    <row r="188" spans="1:8" x14ac:dyDescent="0.3">
      <c r="A188" s="2" t="s">
        <v>253</v>
      </c>
      <c r="B188" s="2" t="s">
        <v>110</v>
      </c>
      <c r="C188" s="2" t="s">
        <v>18</v>
      </c>
      <c r="D188" s="2" t="str">
        <f>_xlfn.XLOOKUP(C188,Doctor!$A$1:$A$11,Doctor!$D$1:$D$11)</f>
        <v>Jane Smith</v>
      </c>
      <c r="E188" s="4">
        <v>44970</v>
      </c>
      <c r="F188" s="1">
        <v>0.52083333333333337</v>
      </c>
      <c r="G188" s="2" t="s">
        <v>11</v>
      </c>
      <c r="H188" s="2" t="s">
        <v>4</v>
      </c>
    </row>
    <row r="189" spans="1:8" x14ac:dyDescent="0.3">
      <c r="A189" s="2" t="s">
        <v>254</v>
      </c>
      <c r="B189" s="2" t="s">
        <v>105</v>
      </c>
      <c r="C189" s="2" t="s">
        <v>41</v>
      </c>
      <c r="D189" s="2" t="str">
        <f>_xlfn.XLOOKUP(C189,Doctor!$A$1:$A$11,Doctor!$D$1:$D$11)</f>
        <v>Jane Davis</v>
      </c>
      <c r="E189" s="4">
        <v>45028</v>
      </c>
      <c r="F189" s="1">
        <v>0.6875</v>
      </c>
      <c r="G189" s="2" t="s">
        <v>31</v>
      </c>
      <c r="H189" s="2" t="s">
        <v>12</v>
      </c>
    </row>
    <row r="190" spans="1:8" x14ac:dyDescent="0.3">
      <c r="A190" s="2" t="s">
        <v>255</v>
      </c>
      <c r="B190" s="2" t="s">
        <v>33</v>
      </c>
      <c r="C190" s="2" t="s">
        <v>28</v>
      </c>
      <c r="D190" s="2" t="str">
        <f>_xlfn.XLOOKUP(C190,Doctor!$A$1:$A$11,Doctor!$D$1:$D$11)</f>
        <v>Linda Wilson</v>
      </c>
      <c r="E190" s="4">
        <v>45204</v>
      </c>
      <c r="F190" s="1">
        <v>0.5625</v>
      </c>
      <c r="G190" s="2" t="s">
        <v>31</v>
      </c>
      <c r="H190" s="2" t="s">
        <v>4</v>
      </c>
    </row>
    <row r="191" spans="1:8" x14ac:dyDescent="0.3">
      <c r="A191" s="2" t="s">
        <v>256</v>
      </c>
      <c r="B191" s="2" t="s">
        <v>38</v>
      </c>
      <c r="C191" s="2" t="s">
        <v>18</v>
      </c>
      <c r="D191" s="2" t="str">
        <f>_xlfn.XLOOKUP(C191,Doctor!$A$1:$A$11,Doctor!$D$1:$D$11)</f>
        <v>Jane Smith</v>
      </c>
      <c r="E191" s="4">
        <v>45246</v>
      </c>
      <c r="F191" s="1">
        <v>0.63541666666666663</v>
      </c>
      <c r="G191" s="2" t="s">
        <v>22</v>
      </c>
      <c r="H191" s="2" t="s">
        <v>4</v>
      </c>
    </row>
    <row r="192" spans="1:8" x14ac:dyDescent="0.3">
      <c r="A192" s="2" t="s">
        <v>257</v>
      </c>
      <c r="B192" s="2" t="s">
        <v>49</v>
      </c>
      <c r="C192" s="2" t="s">
        <v>18</v>
      </c>
      <c r="D192" s="2" t="str">
        <f>_xlfn.XLOOKUP(C192,Doctor!$A$1:$A$11,Doctor!$D$1:$D$11)</f>
        <v>Jane Smith</v>
      </c>
      <c r="E192" s="4">
        <v>45028</v>
      </c>
      <c r="F192" s="1">
        <v>0.66666666666666663</v>
      </c>
      <c r="G192" s="2" t="s">
        <v>11</v>
      </c>
      <c r="H192" s="2" t="s">
        <v>12</v>
      </c>
    </row>
    <row r="193" spans="1:8" x14ac:dyDescent="0.3">
      <c r="A193" s="2" t="s">
        <v>258</v>
      </c>
      <c r="B193" s="2" t="s">
        <v>245</v>
      </c>
      <c r="C193" s="2" t="s">
        <v>67</v>
      </c>
      <c r="D193" s="2" t="str">
        <f>_xlfn.XLOOKUP(C193,Doctor!$A$1:$A$11,Doctor!$D$1:$D$11)</f>
        <v>Sarah Taylor</v>
      </c>
      <c r="E193" s="4">
        <v>45169</v>
      </c>
      <c r="F193" s="1">
        <v>0.59375</v>
      </c>
      <c r="G193" s="2" t="s">
        <v>11</v>
      </c>
      <c r="H193" s="2" t="s">
        <v>12</v>
      </c>
    </row>
    <row r="194" spans="1:8" x14ac:dyDescent="0.3">
      <c r="A194" s="2" t="s">
        <v>259</v>
      </c>
      <c r="B194" s="2" t="s">
        <v>93</v>
      </c>
      <c r="C194" s="2" t="s">
        <v>67</v>
      </c>
      <c r="D194" s="2" t="str">
        <f>_xlfn.XLOOKUP(C194,Doctor!$A$1:$A$11,Doctor!$D$1:$D$11)</f>
        <v>Sarah Taylor</v>
      </c>
      <c r="E194" s="4">
        <v>45184</v>
      </c>
      <c r="F194" s="1">
        <v>0.34375</v>
      </c>
      <c r="G194" s="2" t="s">
        <v>3</v>
      </c>
      <c r="H194" s="2" t="s">
        <v>12</v>
      </c>
    </row>
    <row r="195" spans="1:8" x14ac:dyDescent="0.3">
      <c r="A195" s="2" t="s">
        <v>260</v>
      </c>
      <c r="B195" s="2" t="s">
        <v>147</v>
      </c>
      <c r="C195" s="2" t="s">
        <v>41</v>
      </c>
      <c r="D195" s="2" t="str">
        <f>_xlfn.XLOOKUP(C195,Doctor!$A$1:$A$11,Doctor!$D$1:$D$11)</f>
        <v>Jane Davis</v>
      </c>
      <c r="E195" s="4">
        <v>45022</v>
      </c>
      <c r="F195" s="1">
        <v>0.53125</v>
      </c>
      <c r="G195" s="2" t="s">
        <v>3</v>
      </c>
      <c r="H195" s="2" t="s">
        <v>4</v>
      </c>
    </row>
    <row r="196" spans="1:8" x14ac:dyDescent="0.3">
      <c r="A196" s="2" t="s">
        <v>261</v>
      </c>
      <c r="B196" s="2" t="s">
        <v>10</v>
      </c>
      <c r="C196" s="2" t="s">
        <v>28</v>
      </c>
      <c r="D196" s="2" t="str">
        <f>_xlfn.XLOOKUP(C196,Doctor!$A$1:$A$11,Doctor!$D$1:$D$11)</f>
        <v>Linda Wilson</v>
      </c>
      <c r="E196" s="4">
        <v>45157</v>
      </c>
      <c r="F196" s="1">
        <v>0.71875</v>
      </c>
      <c r="G196" s="2" t="s">
        <v>22</v>
      </c>
      <c r="H196" s="2" t="s">
        <v>4</v>
      </c>
    </row>
    <row r="197" spans="1:8" x14ac:dyDescent="0.3">
      <c r="A197" s="2" t="s">
        <v>262</v>
      </c>
      <c r="B197" s="2" t="s">
        <v>21</v>
      </c>
      <c r="C197" s="2" t="s">
        <v>15</v>
      </c>
      <c r="D197" s="2" t="str">
        <f>_xlfn.XLOOKUP(C197,Doctor!$A$1:$A$11,Doctor!$D$1:$D$11)</f>
        <v>Alex Davis</v>
      </c>
      <c r="E197" s="4">
        <v>45225</v>
      </c>
      <c r="F197" s="1">
        <v>0.40625</v>
      </c>
      <c r="G197" s="2" t="s">
        <v>22</v>
      </c>
      <c r="H197" s="2" t="s">
        <v>12</v>
      </c>
    </row>
    <row r="198" spans="1:8" x14ac:dyDescent="0.3">
      <c r="A198" s="2" t="s">
        <v>263</v>
      </c>
      <c r="B198" s="2" t="s">
        <v>24</v>
      </c>
      <c r="C198" s="2" t="s">
        <v>67</v>
      </c>
      <c r="D198" s="2" t="str">
        <f>_xlfn.XLOOKUP(C198,Doctor!$A$1:$A$11,Doctor!$D$1:$D$11)</f>
        <v>Sarah Taylor</v>
      </c>
      <c r="E198" s="4">
        <v>45017</v>
      </c>
      <c r="F198" s="1">
        <v>0.5625</v>
      </c>
      <c r="G198" s="2" t="s">
        <v>19</v>
      </c>
      <c r="H198" s="2" t="s">
        <v>8</v>
      </c>
    </row>
    <row r="199" spans="1:8" x14ac:dyDescent="0.3">
      <c r="A199" s="2" t="s">
        <v>264</v>
      </c>
      <c r="B199" s="2" t="s">
        <v>36</v>
      </c>
      <c r="C199" s="2" t="s">
        <v>15</v>
      </c>
      <c r="D199" s="2" t="str">
        <f>_xlfn.XLOOKUP(C199,Doctor!$A$1:$A$11,Doctor!$D$1:$D$11)</f>
        <v>Alex Davis</v>
      </c>
      <c r="E199" s="4">
        <v>45061</v>
      </c>
      <c r="F199" s="1">
        <v>0.35416666666666669</v>
      </c>
      <c r="G199" s="2" t="s">
        <v>3</v>
      </c>
      <c r="H199" s="2" t="s">
        <v>8</v>
      </c>
    </row>
    <row r="200" spans="1:8" x14ac:dyDescent="0.3">
      <c r="A200" s="2" t="s">
        <v>265</v>
      </c>
      <c r="B200" s="2" t="s">
        <v>144</v>
      </c>
      <c r="C200" s="2" t="s">
        <v>52</v>
      </c>
      <c r="D200" s="2" t="str">
        <f>_xlfn.XLOOKUP(C200,Doctor!$A$1:$A$11,Doctor!$D$1:$D$11)</f>
        <v>David Taylor</v>
      </c>
      <c r="E200" s="4">
        <v>45047</v>
      </c>
      <c r="F200" s="1">
        <v>0.53125</v>
      </c>
      <c r="G200" s="2" t="s">
        <v>31</v>
      </c>
      <c r="H200" s="2" t="s">
        <v>34</v>
      </c>
    </row>
    <row r="201" spans="1:8" x14ac:dyDescent="0.3">
      <c r="A201" s="2" t="s">
        <v>266</v>
      </c>
      <c r="B201" s="2" t="s">
        <v>156</v>
      </c>
      <c r="C201" s="2" t="s">
        <v>67</v>
      </c>
      <c r="D201" s="2" t="str">
        <f>_xlfn.XLOOKUP(C201,Doctor!$A$1:$A$11,Doctor!$D$1:$D$11)</f>
        <v>Sarah Taylor</v>
      </c>
      <c r="E201" s="4">
        <v>45290</v>
      </c>
      <c r="F201" s="1">
        <v>0.42708333333333331</v>
      </c>
      <c r="G201" s="2" t="s">
        <v>11</v>
      </c>
      <c r="H201" s="2" t="s">
        <v>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5032B-C070-4D54-94FE-89ABDA63206C}">
  <dimension ref="A3:C20"/>
  <sheetViews>
    <sheetView workbookViewId="0">
      <selection activeCell="A3" sqref="A3"/>
    </sheetView>
  </sheetViews>
  <sheetFormatPr defaultRowHeight="14.4" x14ac:dyDescent="0.3"/>
  <sheetData>
    <row r="3" spans="1:3" x14ac:dyDescent="0.3">
      <c r="A3" s="8"/>
      <c r="B3" s="9"/>
      <c r="C3" s="10"/>
    </row>
    <row r="4" spans="1:3" x14ac:dyDescent="0.3">
      <c r="A4" s="11"/>
      <c r="B4" s="12"/>
      <c r="C4" s="13"/>
    </row>
    <row r="5" spans="1:3" x14ac:dyDescent="0.3">
      <c r="A5" s="11"/>
      <c r="B5" s="12"/>
      <c r="C5" s="13"/>
    </row>
    <row r="6" spans="1:3" x14ac:dyDescent="0.3">
      <c r="A6" s="11"/>
      <c r="B6" s="12"/>
      <c r="C6" s="13"/>
    </row>
    <row r="7" spans="1:3" x14ac:dyDescent="0.3">
      <c r="A7" s="11"/>
      <c r="B7" s="12"/>
      <c r="C7" s="13"/>
    </row>
    <row r="8" spans="1:3" x14ac:dyDescent="0.3">
      <c r="A8" s="11"/>
      <c r="B8" s="12"/>
      <c r="C8" s="13"/>
    </row>
    <row r="9" spans="1:3" x14ac:dyDescent="0.3">
      <c r="A9" s="11"/>
      <c r="B9" s="12"/>
      <c r="C9" s="13"/>
    </row>
    <row r="10" spans="1:3" x14ac:dyDescent="0.3">
      <c r="A10" s="11"/>
      <c r="B10" s="12"/>
      <c r="C10" s="13"/>
    </row>
    <row r="11" spans="1:3" x14ac:dyDescent="0.3">
      <c r="A11" s="11"/>
      <c r="B11" s="12"/>
      <c r="C11" s="13"/>
    </row>
    <row r="12" spans="1:3" x14ac:dyDescent="0.3">
      <c r="A12" s="11"/>
      <c r="B12" s="12"/>
      <c r="C12" s="13"/>
    </row>
    <row r="13" spans="1:3" x14ac:dyDescent="0.3">
      <c r="A13" s="11"/>
      <c r="B13" s="12"/>
      <c r="C13" s="13"/>
    </row>
    <row r="14" spans="1:3" x14ac:dyDescent="0.3">
      <c r="A14" s="11"/>
      <c r="B14" s="12"/>
      <c r="C14" s="13"/>
    </row>
    <row r="15" spans="1:3" x14ac:dyDescent="0.3">
      <c r="A15" s="11"/>
      <c r="B15" s="12"/>
      <c r="C15" s="13"/>
    </row>
    <row r="16" spans="1:3" x14ac:dyDescent="0.3">
      <c r="A16" s="11"/>
      <c r="B16" s="12"/>
      <c r="C16" s="13"/>
    </row>
    <row r="17" spans="1:3" x14ac:dyDescent="0.3">
      <c r="A17" s="11"/>
      <c r="B17" s="12"/>
      <c r="C17" s="13"/>
    </row>
    <row r="18" spans="1:3" x14ac:dyDescent="0.3">
      <c r="A18" s="11"/>
      <c r="B18" s="12"/>
      <c r="C18" s="13"/>
    </row>
    <row r="19" spans="1:3" x14ac:dyDescent="0.3">
      <c r="A19" s="11"/>
      <c r="B19" s="12"/>
      <c r="C19" s="13"/>
    </row>
    <row r="20" spans="1:3" x14ac:dyDescent="0.3">
      <c r="A20" s="14"/>
      <c r="B20" s="15"/>
      <c r="C20" s="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60B48-B7F4-4388-8607-0D4936D5DAF7}">
  <dimension ref="A1:N201"/>
  <sheetViews>
    <sheetView zoomScale="110" zoomScaleNormal="110" workbookViewId="0">
      <selection activeCell="C3" sqref="C3"/>
    </sheetView>
  </sheetViews>
  <sheetFormatPr defaultRowHeight="14.4" x14ac:dyDescent="0.3"/>
  <cols>
    <col min="1" max="1" width="6.109375" bestFit="1" customWidth="1"/>
    <col min="2" max="2" width="9.6640625" bestFit="1" customWidth="1"/>
    <col min="3" max="3" width="9.6640625" customWidth="1"/>
    <col min="4" max="4" width="11.88671875" bestFit="1" customWidth="1"/>
    <col min="5" max="5" width="12.44140625" bestFit="1" customWidth="1"/>
    <col min="6" max="6" width="15" bestFit="1" customWidth="1"/>
    <col min="7" max="7" width="10.5546875" bestFit="1" customWidth="1"/>
    <col min="8" max="8" width="14.88671875" bestFit="1" customWidth="1"/>
    <col min="9" max="9" width="8" bestFit="1" customWidth="1"/>
    <col min="10" max="10" width="16.44140625" bestFit="1" customWidth="1"/>
    <col min="11" max="11" width="14.88671875" bestFit="1" customWidth="1"/>
    <col min="13" max="13" width="13.5546875" bestFit="1" customWidth="1"/>
  </cols>
  <sheetData>
    <row r="1" spans="1:14" x14ac:dyDescent="0.3">
      <c r="A1" s="3" t="s">
        <v>818</v>
      </c>
      <c r="B1" s="3" t="s">
        <v>819</v>
      </c>
      <c r="C1" s="3" t="s">
        <v>826</v>
      </c>
      <c r="D1" s="3" t="s">
        <v>869</v>
      </c>
      <c r="E1" s="3" t="s">
        <v>820</v>
      </c>
      <c r="F1" s="3" t="s">
        <v>831</v>
      </c>
      <c r="G1" s="3" t="s">
        <v>821</v>
      </c>
      <c r="H1" s="3" t="s">
        <v>867</v>
      </c>
      <c r="I1" s="3" t="s">
        <v>822</v>
      </c>
      <c r="J1" s="3" t="s">
        <v>823</v>
      </c>
      <c r="K1" s="3" t="s">
        <v>824</v>
      </c>
    </row>
    <row r="2" spans="1:14" x14ac:dyDescent="0.3">
      <c r="A2" s="2" t="s">
        <v>612</v>
      </c>
      <c r="B2" s="2" t="s">
        <v>1</v>
      </c>
      <c r="C2" s="2" t="str">
        <f>_xlfn.XLOOKUP(B2,appointments!$B$2:$B$201,appointments!$C$2:$C$201)</f>
        <v>D009</v>
      </c>
      <c r="D2" s="2" t="str">
        <f>_xlfn.XLOOKUP(C2,Doctor!$A$2:$A$11,Doctor!$D$2:$D$11)</f>
        <v>Sarah Smith</v>
      </c>
      <c r="E2" s="2" t="s">
        <v>267</v>
      </c>
      <c r="F2" s="2" t="str">
        <f>_xlfn.XLOOKUP(E2,Treatment!$A:$A,Treatment!$C:$C)</f>
        <v>Chemotherapy</v>
      </c>
      <c r="G2" s="4">
        <v>45147</v>
      </c>
      <c r="H2" s="4" t="str">
        <f>TEXT(G2,"mmmm-yyyy")</f>
        <v>August-2023</v>
      </c>
      <c r="I2" s="2">
        <v>3941.97</v>
      </c>
      <c r="J2" s="2" t="s">
        <v>613</v>
      </c>
      <c r="K2" s="2" t="s">
        <v>614</v>
      </c>
    </row>
    <row r="3" spans="1:14" x14ac:dyDescent="0.3">
      <c r="A3" s="2" t="s">
        <v>615</v>
      </c>
      <c r="B3" s="2" t="s">
        <v>6</v>
      </c>
      <c r="C3" s="2" t="str">
        <f>_xlfn.XLOOKUP(B3,appointments!$B$2:$B$201,appointments!$C$2:$C$201)</f>
        <v>D004</v>
      </c>
      <c r="D3" s="2" t="str">
        <f>_xlfn.XLOOKUP(C3,Doctor!$A$2:$A$11,Doctor!$D$2:$D$11)</f>
        <v>David Jones</v>
      </c>
      <c r="E3" s="2" t="s">
        <v>270</v>
      </c>
      <c r="F3" s="2" t="str">
        <f>_xlfn.XLOOKUP(E3,Treatment!$A:$A,Treatment!$C:$C)</f>
        <v>MRI</v>
      </c>
      <c r="G3" s="4">
        <v>45086</v>
      </c>
      <c r="H3" s="4" t="str">
        <f t="shared" ref="H3:H66" si="0">TEXT(G3,"mmmm-yyyy")</f>
        <v>June-2023</v>
      </c>
      <c r="I3" s="2">
        <v>4158.4399999999996</v>
      </c>
      <c r="J3" s="2" t="s">
        <v>613</v>
      </c>
      <c r="K3" s="2" t="s">
        <v>616</v>
      </c>
    </row>
    <row r="4" spans="1:14" x14ac:dyDescent="0.3">
      <c r="A4" s="2" t="s">
        <v>617</v>
      </c>
      <c r="B4" s="2" t="s">
        <v>10</v>
      </c>
      <c r="C4" s="2" t="str">
        <f>_xlfn.XLOOKUP(B4,appointments!$B$2:$B$201,appointments!$C$2:$C$201)</f>
        <v>D004</v>
      </c>
      <c r="D4" s="2" t="str">
        <f>_xlfn.XLOOKUP(C4,Doctor!$A$2:$A$11,Doctor!$D$2:$D$11)</f>
        <v>David Jones</v>
      </c>
      <c r="E4" s="2" t="s">
        <v>273</v>
      </c>
      <c r="F4" s="2" t="str">
        <f>_xlfn.XLOOKUP(E4,Treatment!$A:$A,Treatment!$C:$C)</f>
        <v>MRI</v>
      </c>
      <c r="G4" s="4">
        <v>45105</v>
      </c>
      <c r="H4" s="4" t="str">
        <f t="shared" si="0"/>
        <v>June-2023</v>
      </c>
      <c r="I4" s="2">
        <v>3731.55</v>
      </c>
      <c r="J4" s="2" t="s">
        <v>613</v>
      </c>
      <c r="K4" s="2" t="s">
        <v>616</v>
      </c>
    </row>
    <row r="5" spans="1:14" x14ac:dyDescent="0.3">
      <c r="A5" s="2" t="s">
        <v>618</v>
      </c>
      <c r="B5" s="2" t="s">
        <v>14</v>
      </c>
      <c r="C5" s="2" t="str">
        <f>_xlfn.XLOOKUP(B5,appointments!$B$2:$B$201,appointments!$C$2:$C$201)</f>
        <v>D006</v>
      </c>
      <c r="D5" s="2" t="str">
        <f>_xlfn.XLOOKUP(C5,Doctor!$A$2:$A$11,Doctor!$D$2:$D$11)</f>
        <v>Alex Davis</v>
      </c>
      <c r="E5" s="2" t="s">
        <v>275</v>
      </c>
      <c r="F5" s="2" t="str">
        <f>_xlfn.XLOOKUP(E5,Treatment!$A:$A,Treatment!$C:$C)</f>
        <v>MRI</v>
      </c>
      <c r="G5" s="4">
        <v>45170</v>
      </c>
      <c r="H5" s="4" t="str">
        <f t="shared" si="0"/>
        <v>September-2023</v>
      </c>
      <c r="I5" s="2">
        <v>4799.8599999999997</v>
      </c>
      <c r="J5" s="2" t="s">
        <v>613</v>
      </c>
      <c r="K5" s="2" t="s">
        <v>619</v>
      </c>
      <c r="M5" s="5" t="s">
        <v>268</v>
      </c>
      <c r="N5">
        <f>SUMIFS($I$2:$I$201,$F$2:$F$201,M5)</f>
        <v>128855.67999999999</v>
      </c>
    </row>
    <row r="6" spans="1:14" x14ac:dyDescent="0.3">
      <c r="A6" s="2" t="s">
        <v>620</v>
      </c>
      <c r="B6" s="2" t="s">
        <v>17</v>
      </c>
      <c r="C6" s="2" t="str">
        <f>_xlfn.XLOOKUP(B6,appointments!$B$2:$B$201,appointments!$C$2:$C$201)</f>
        <v>D003</v>
      </c>
      <c r="D6" s="2" t="str">
        <f>_xlfn.XLOOKUP(C6,Doctor!$A$2:$A$11,Doctor!$D$2:$D$11)</f>
        <v>Jane Smith</v>
      </c>
      <c r="E6" s="2" t="s">
        <v>276</v>
      </c>
      <c r="F6" s="2" t="str">
        <f>_xlfn.XLOOKUP(E6,Treatment!$A:$A,Treatment!$C:$C)</f>
        <v>ECG</v>
      </c>
      <c r="G6" s="4">
        <v>45113</v>
      </c>
      <c r="H6" s="4" t="str">
        <f t="shared" si="0"/>
        <v>July-2023</v>
      </c>
      <c r="I6" s="2">
        <v>582.04999999999995</v>
      </c>
      <c r="J6" s="2" t="s">
        <v>621</v>
      </c>
      <c r="K6" s="2" t="s">
        <v>614</v>
      </c>
      <c r="M6" s="5" t="s">
        <v>277</v>
      </c>
      <c r="N6">
        <f t="shared" ref="N6:N9" si="1">SUMIFS($I$2:$I$201,$F$2:$F$201,M6)</f>
        <v>96224.24</v>
      </c>
    </row>
    <row r="7" spans="1:14" x14ac:dyDescent="0.3">
      <c r="A7" s="2" t="s">
        <v>622</v>
      </c>
      <c r="B7" s="2" t="s">
        <v>21</v>
      </c>
      <c r="C7" s="2" t="str">
        <f>_xlfn.XLOOKUP(B7,appointments!$B$2:$B$201,appointments!$C$2:$C$201)</f>
        <v>D006</v>
      </c>
      <c r="D7" s="2" t="str">
        <f>_xlfn.XLOOKUP(C7,Doctor!$A$2:$A$11,Doctor!$D$2:$D$11)</f>
        <v>Alex Davis</v>
      </c>
      <c r="E7" s="2" t="s">
        <v>278</v>
      </c>
      <c r="F7" s="2" t="str">
        <f>_xlfn.XLOOKUP(E7,Treatment!$A:$A,Treatment!$C:$C)</f>
        <v>Chemotherapy</v>
      </c>
      <c r="G7" s="4">
        <v>45096</v>
      </c>
      <c r="H7" s="4" t="str">
        <f t="shared" si="0"/>
        <v>June-2023</v>
      </c>
      <c r="I7" s="2">
        <v>1381</v>
      </c>
      <c r="J7" s="2" t="s">
        <v>613</v>
      </c>
      <c r="K7" s="2" t="s">
        <v>614</v>
      </c>
      <c r="M7" s="5" t="s">
        <v>271</v>
      </c>
      <c r="N7">
        <f t="shared" si="1"/>
        <v>116098.15999999999</v>
      </c>
    </row>
    <row r="8" spans="1:14" x14ac:dyDescent="0.3">
      <c r="A8" s="2" t="s">
        <v>623</v>
      </c>
      <c r="B8" s="2" t="s">
        <v>24</v>
      </c>
      <c r="C8" s="2" t="str">
        <f>_xlfn.XLOOKUP(B8,appointments!$B$2:$B$201,appointments!$C$2:$C$201)</f>
        <v>D007</v>
      </c>
      <c r="D8" s="2" t="str">
        <f>_xlfn.XLOOKUP(C8,Doctor!$A$2:$A$11,Doctor!$D$2:$D$11)</f>
        <v>Robert Davis</v>
      </c>
      <c r="E8" s="2" t="s">
        <v>279</v>
      </c>
      <c r="F8" s="2" t="str">
        <f>_xlfn.XLOOKUP(E8,Treatment!$A:$A,Treatment!$C:$C)</f>
        <v>Chemotherapy</v>
      </c>
      <c r="G8" s="4">
        <v>45025</v>
      </c>
      <c r="H8" s="4" t="str">
        <f t="shared" si="0"/>
        <v>April-2023</v>
      </c>
      <c r="I8" s="2">
        <v>534.03</v>
      </c>
      <c r="J8" s="2" t="s">
        <v>624</v>
      </c>
      <c r="K8" s="2" t="s">
        <v>619</v>
      </c>
      <c r="M8" s="5" t="s">
        <v>281</v>
      </c>
      <c r="N8">
        <f t="shared" si="1"/>
        <v>99418.1</v>
      </c>
    </row>
    <row r="9" spans="1:14" x14ac:dyDescent="0.3">
      <c r="A9" s="2" t="s">
        <v>625</v>
      </c>
      <c r="B9" s="2" t="s">
        <v>27</v>
      </c>
      <c r="C9" s="2" t="str">
        <f>_xlfn.XLOOKUP(B9,appointments!$B$2:$B$201,appointments!$C$2:$C$201)</f>
        <v>D010</v>
      </c>
      <c r="D9" s="2" t="str">
        <f>_xlfn.XLOOKUP(C9,Doctor!$A$2:$A$11,Doctor!$D$2:$D$11)</f>
        <v>Linda Wilson</v>
      </c>
      <c r="E9" s="2" t="s">
        <v>280</v>
      </c>
      <c r="F9" s="2" t="str">
        <f>_xlfn.XLOOKUP(E9,Treatment!$A:$A,Treatment!$C:$C)</f>
        <v>Physiotherapy</v>
      </c>
      <c r="G9" s="4">
        <v>45070</v>
      </c>
      <c r="H9" s="4" t="str">
        <f t="shared" si="0"/>
        <v>May-2023</v>
      </c>
      <c r="I9" s="2">
        <v>3413.64</v>
      </c>
      <c r="J9" s="2" t="s">
        <v>624</v>
      </c>
      <c r="K9" s="2" t="s">
        <v>619</v>
      </c>
      <c r="M9" s="5" t="s">
        <v>293</v>
      </c>
      <c r="N9">
        <f t="shared" si="1"/>
        <v>110653.67000000001</v>
      </c>
    </row>
    <row r="10" spans="1:14" x14ac:dyDescent="0.3">
      <c r="A10" s="2" t="s">
        <v>626</v>
      </c>
      <c r="B10" s="2" t="s">
        <v>30</v>
      </c>
      <c r="C10" s="2" t="str">
        <f>_xlfn.XLOOKUP(B10,appointments!$B$2:$B$201,appointments!$C$2:$C$201)</f>
        <v>D010</v>
      </c>
      <c r="D10" s="2" t="str">
        <f>_xlfn.XLOOKUP(C10,Doctor!$A$2:$A$11,Doctor!$D$2:$D$11)</f>
        <v>Linda Wilson</v>
      </c>
      <c r="E10" s="2" t="s">
        <v>282</v>
      </c>
      <c r="F10" s="2" t="str">
        <f>_xlfn.XLOOKUP(E10,Treatment!$A:$A,Treatment!$C:$C)</f>
        <v>Physiotherapy</v>
      </c>
      <c r="G10" s="4">
        <v>44990</v>
      </c>
      <c r="H10" s="4" t="str">
        <f t="shared" si="0"/>
        <v>March-2023</v>
      </c>
      <c r="I10" s="2">
        <v>4541.1400000000003</v>
      </c>
      <c r="J10" s="2" t="s">
        <v>621</v>
      </c>
      <c r="K10" s="2" t="s">
        <v>616</v>
      </c>
    </row>
    <row r="11" spans="1:14" x14ac:dyDescent="0.3">
      <c r="A11" s="2" t="s">
        <v>627</v>
      </c>
      <c r="B11" s="2" t="s">
        <v>33</v>
      </c>
      <c r="C11" s="2" t="str">
        <f>_xlfn.XLOOKUP(B11,appointments!$B$2:$B$201,appointments!$C$2:$C$201)</f>
        <v>D003</v>
      </c>
      <c r="D11" s="2" t="str">
        <f>_xlfn.XLOOKUP(C11,Doctor!$A$2:$A$11,Doctor!$D$2:$D$11)</f>
        <v>Jane Smith</v>
      </c>
      <c r="E11" s="2" t="s">
        <v>283</v>
      </c>
      <c r="F11" s="2" t="str">
        <f>_xlfn.XLOOKUP(E11,Treatment!$A:$A,Treatment!$C:$C)</f>
        <v>Physiotherapy</v>
      </c>
      <c r="G11" s="4">
        <v>44939</v>
      </c>
      <c r="H11" s="4" t="str">
        <f t="shared" si="0"/>
        <v>January-2023</v>
      </c>
      <c r="I11" s="2">
        <v>1595.67</v>
      </c>
      <c r="J11" s="2" t="s">
        <v>624</v>
      </c>
      <c r="K11" s="2" t="s">
        <v>616</v>
      </c>
    </row>
    <row r="12" spans="1:14" x14ac:dyDescent="0.3">
      <c r="A12" s="2" t="s">
        <v>628</v>
      </c>
      <c r="B12" s="2" t="s">
        <v>36</v>
      </c>
      <c r="C12" s="2" t="str">
        <f>_xlfn.XLOOKUP(B12,appointments!$B$2:$B$201,appointments!$C$2:$C$201)</f>
        <v>D007</v>
      </c>
      <c r="D12" s="2" t="str">
        <f>_xlfn.XLOOKUP(C12,Doctor!$A$2:$A$11,Doctor!$D$2:$D$11)</f>
        <v>Robert Davis</v>
      </c>
      <c r="E12" s="2" t="s">
        <v>284</v>
      </c>
      <c r="F12" s="2" t="str">
        <f>_xlfn.XLOOKUP(E12,Treatment!$A:$A,Treatment!$C:$C)</f>
        <v>MRI</v>
      </c>
      <c r="G12" s="4">
        <v>45242</v>
      </c>
      <c r="H12" s="4" t="str">
        <f t="shared" si="0"/>
        <v>November-2023</v>
      </c>
      <c r="I12" s="2">
        <v>4671.66</v>
      </c>
      <c r="J12" s="2" t="s">
        <v>624</v>
      </c>
      <c r="K12" s="2" t="s">
        <v>619</v>
      </c>
    </row>
    <row r="13" spans="1:14" ht="14.4" customHeight="1" x14ac:dyDescent="0.3">
      <c r="A13" s="2" t="s">
        <v>629</v>
      </c>
      <c r="B13" s="2" t="s">
        <v>38</v>
      </c>
      <c r="C13" s="2" t="str">
        <f>_xlfn.XLOOKUP(B13,appointments!$B$2:$B$201,appointments!$C$2:$C$201)</f>
        <v>D003</v>
      </c>
      <c r="D13" s="2" t="str">
        <f>_xlfn.XLOOKUP(C13,Doctor!$A$2:$A$11,Doctor!$D$2:$D$11)</f>
        <v>Jane Smith</v>
      </c>
      <c r="E13" s="2" t="s">
        <v>285</v>
      </c>
      <c r="F13" s="2" t="str">
        <f>_xlfn.XLOOKUP(E13,Treatment!$A:$A,Treatment!$C:$C)</f>
        <v>Chemotherapy</v>
      </c>
      <c r="G13" s="4">
        <v>45053</v>
      </c>
      <c r="H13" s="4" t="str">
        <f t="shared" si="0"/>
        <v>May-2023</v>
      </c>
      <c r="I13" s="2">
        <v>771.2</v>
      </c>
      <c r="J13" s="2" t="s">
        <v>613</v>
      </c>
      <c r="K13" s="2" t="s">
        <v>614</v>
      </c>
    </row>
    <row r="14" spans="1:14" x14ac:dyDescent="0.3">
      <c r="A14" s="2" t="s">
        <v>630</v>
      </c>
      <c r="B14" s="2" t="s">
        <v>40</v>
      </c>
      <c r="C14" s="2" t="str">
        <f>_xlfn.XLOOKUP(B14,appointments!$B$2:$B$201,appointments!$C$2:$C$201)</f>
        <v>D002</v>
      </c>
      <c r="D14" s="2" t="str">
        <f>_xlfn.XLOOKUP(C14,Doctor!$A$2:$A$11,Doctor!$D$2:$D$11)</f>
        <v>Jane Davis</v>
      </c>
      <c r="E14" s="2" t="s">
        <v>286</v>
      </c>
      <c r="F14" s="2" t="str">
        <f>_xlfn.XLOOKUP(E14,Treatment!$A:$A,Treatment!$C:$C)</f>
        <v>MRI</v>
      </c>
      <c r="G14" s="4">
        <v>45154</v>
      </c>
      <c r="H14" s="4" t="str">
        <f t="shared" si="0"/>
        <v>August-2023</v>
      </c>
      <c r="I14" s="2">
        <v>4704.96</v>
      </c>
      <c r="J14" s="2" t="s">
        <v>624</v>
      </c>
      <c r="K14" s="2" t="s">
        <v>616</v>
      </c>
    </row>
    <row r="15" spans="1:14" x14ac:dyDescent="0.3">
      <c r="A15" s="2" t="s">
        <v>631</v>
      </c>
      <c r="B15" s="2" t="s">
        <v>43</v>
      </c>
      <c r="C15" s="2" t="str">
        <f>_xlfn.XLOOKUP(B15,appointments!$B$2:$B$201,appointments!$C$2:$C$201)</f>
        <v>D010</v>
      </c>
      <c r="D15" s="2" t="str">
        <f>_xlfn.XLOOKUP(C15,Doctor!$A$2:$A$11,Doctor!$D$2:$D$11)</f>
        <v>Linda Wilson</v>
      </c>
      <c r="E15" s="2" t="s">
        <v>287</v>
      </c>
      <c r="F15" s="2" t="str">
        <f>_xlfn.XLOOKUP(E15,Treatment!$A:$A,Treatment!$C:$C)</f>
        <v>ECG</v>
      </c>
      <c r="G15" s="4">
        <v>45071</v>
      </c>
      <c r="H15" s="4" t="str">
        <f t="shared" si="0"/>
        <v>May-2023</v>
      </c>
      <c r="I15" s="2">
        <v>2082.3000000000002</v>
      </c>
      <c r="J15" s="2" t="s">
        <v>621</v>
      </c>
      <c r="K15" s="2" t="s">
        <v>616</v>
      </c>
    </row>
    <row r="16" spans="1:14" x14ac:dyDescent="0.3">
      <c r="A16" s="2" t="s">
        <v>632</v>
      </c>
      <c r="B16" s="2" t="s">
        <v>45</v>
      </c>
      <c r="C16" s="2" t="str">
        <f>_xlfn.XLOOKUP(B16,appointments!$B$2:$B$201,appointments!$C$2:$C$201)</f>
        <v>D004</v>
      </c>
      <c r="D16" s="2" t="str">
        <f>_xlfn.XLOOKUP(C16,Doctor!$A$2:$A$11,Doctor!$D$2:$D$11)</f>
        <v>David Jones</v>
      </c>
      <c r="E16" s="2" t="s">
        <v>288</v>
      </c>
      <c r="F16" s="2" t="str">
        <f>_xlfn.XLOOKUP(E16,Treatment!$A:$A,Treatment!$C:$C)</f>
        <v>Physiotherapy</v>
      </c>
      <c r="G16" s="4">
        <v>44941</v>
      </c>
      <c r="H16" s="4" t="str">
        <f t="shared" si="0"/>
        <v>January-2023</v>
      </c>
      <c r="I16" s="2">
        <v>956.39</v>
      </c>
      <c r="J16" s="2" t="s">
        <v>613</v>
      </c>
      <c r="K16" s="2" t="s">
        <v>614</v>
      </c>
    </row>
    <row r="17" spans="1:11" x14ac:dyDescent="0.3">
      <c r="A17" s="2" t="s">
        <v>633</v>
      </c>
      <c r="B17" s="2" t="s">
        <v>27</v>
      </c>
      <c r="C17" s="2" t="str">
        <f>_xlfn.XLOOKUP(B17,appointments!$B$2:$B$201,appointments!$C$2:$C$201)</f>
        <v>D010</v>
      </c>
      <c r="D17" s="2" t="str">
        <f>_xlfn.XLOOKUP(C17,Doctor!$A$2:$A$11,Doctor!$D$2:$D$11)</f>
        <v>Linda Wilson</v>
      </c>
      <c r="E17" s="2" t="s">
        <v>289</v>
      </c>
      <c r="F17" s="2" t="str">
        <f>_xlfn.XLOOKUP(E17,Treatment!$A:$A,Treatment!$C:$C)</f>
        <v>MRI</v>
      </c>
      <c r="G17" s="4">
        <v>45107</v>
      </c>
      <c r="H17" s="4" t="str">
        <f t="shared" si="0"/>
        <v>June-2023</v>
      </c>
      <c r="I17" s="2">
        <v>2686.42</v>
      </c>
      <c r="J17" s="2" t="s">
        <v>613</v>
      </c>
      <c r="K17" s="2" t="s">
        <v>616</v>
      </c>
    </row>
    <row r="18" spans="1:11" x14ac:dyDescent="0.3">
      <c r="A18" s="2" t="s">
        <v>634</v>
      </c>
      <c r="B18" s="2" t="s">
        <v>49</v>
      </c>
      <c r="C18" s="2" t="str">
        <f>_xlfn.XLOOKUP(B18,appointments!$B$2:$B$201,appointments!$C$2:$C$201)</f>
        <v>D009</v>
      </c>
      <c r="D18" s="2" t="str">
        <f>_xlfn.XLOOKUP(C18,Doctor!$A$2:$A$11,Doctor!$D$2:$D$11)</f>
        <v>Sarah Smith</v>
      </c>
      <c r="E18" s="2" t="s">
        <v>290</v>
      </c>
      <c r="F18" s="2" t="str">
        <f>_xlfn.XLOOKUP(E18,Treatment!$A:$A,Treatment!$C:$C)</f>
        <v>MRI</v>
      </c>
      <c r="G18" s="4">
        <v>45118</v>
      </c>
      <c r="H18" s="4" t="str">
        <f t="shared" si="0"/>
        <v>July-2023</v>
      </c>
      <c r="I18" s="2">
        <v>1655.49</v>
      </c>
      <c r="J18" s="2" t="s">
        <v>621</v>
      </c>
      <c r="K18" s="2" t="s">
        <v>614</v>
      </c>
    </row>
    <row r="19" spans="1:11" x14ac:dyDescent="0.3">
      <c r="A19" s="2" t="s">
        <v>635</v>
      </c>
      <c r="B19" s="2" t="s">
        <v>36</v>
      </c>
      <c r="C19" s="2" t="str">
        <f>_xlfn.XLOOKUP(B19,appointments!$B$2:$B$201,appointments!$C$2:$C$201)</f>
        <v>D007</v>
      </c>
      <c r="D19" s="2" t="str">
        <f>_xlfn.XLOOKUP(C19,Doctor!$A$2:$A$11,Doctor!$D$2:$D$11)</f>
        <v>Robert Davis</v>
      </c>
      <c r="E19" s="2" t="s">
        <v>291</v>
      </c>
      <c r="F19" s="2" t="str">
        <f>_xlfn.XLOOKUP(E19,Treatment!$A:$A,Treatment!$C:$C)</f>
        <v>ECG</v>
      </c>
      <c r="G19" s="4">
        <v>45244</v>
      </c>
      <c r="H19" s="4" t="str">
        <f t="shared" si="0"/>
        <v>November-2023</v>
      </c>
      <c r="I19" s="2">
        <v>1781.93</v>
      </c>
      <c r="J19" s="2" t="s">
        <v>613</v>
      </c>
      <c r="K19" s="2" t="s">
        <v>614</v>
      </c>
    </row>
    <row r="20" spans="1:11" x14ac:dyDescent="0.3">
      <c r="A20" s="2" t="s">
        <v>636</v>
      </c>
      <c r="B20" s="2" t="s">
        <v>38</v>
      </c>
      <c r="C20" s="2" t="str">
        <f>_xlfn.XLOOKUP(B20,appointments!$B$2:$B$201,appointments!$C$2:$C$201)</f>
        <v>D003</v>
      </c>
      <c r="D20" s="2" t="str">
        <f>_xlfn.XLOOKUP(C20,Doctor!$A$2:$A$11,Doctor!$D$2:$D$11)</f>
        <v>Jane Smith</v>
      </c>
      <c r="E20" s="2" t="s">
        <v>292</v>
      </c>
      <c r="F20" s="2" t="str">
        <f>_xlfn.XLOOKUP(E20,Treatment!$A:$A,Treatment!$C:$C)</f>
        <v>X-Ray</v>
      </c>
      <c r="G20" s="4">
        <v>44963</v>
      </c>
      <c r="H20" s="4" t="str">
        <f t="shared" si="0"/>
        <v>February-2023</v>
      </c>
      <c r="I20" s="2">
        <v>1882.8</v>
      </c>
      <c r="J20" s="2" t="s">
        <v>613</v>
      </c>
      <c r="K20" s="2" t="s">
        <v>614</v>
      </c>
    </row>
    <row r="21" spans="1:11" x14ac:dyDescent="0.3">
      <c r="A21" s="2" t="s">
        <v>637</v>
      </c>
      <c r="B21" s="2" t="s">
        <v>54</v>
      </c>
      <c r="C21" s="2" t="str">
        <f>_xlfn.XLOOKUP(B21,appointments!$B$2:$B$201,appointments!$C$2:$C$201)</f>
        <v>D003</v>
      </c>
      <c r="D21" s="2" t="str">
        <f>_xlfn.XLOOKUP(C21,Doctor!$A$2:$A$11,Doctor!$D$2:$D$11)</f>
        <v>Jane Smith</v>
      </c>
      <c r="E21" s="2" t="s">
        <v>294</v>
      </c>
      <c r="F21" s="2" t="str">
        <f>_xlfn.XLOOKUP(E21,Treatment!$A:$A,Treatment!$C:$C)</f>
        <v>Chemotherapy</v>
      </c>
      <c r="G21" s="4">
        <v>45265</v>
      </c>
      <c r="H21" s="4" t="str">
        <f t="shared" si="0"/>
        <v>December-2023</v>
      </c>
      <c r="I21" s="2">
        <v>4113.62</v>
      </c>
      <c r="J21" s="2" t="s">
        <v>621</v>
      </c>
      <c r="K21" s="2" t="s">
        <v>619</v>
      </c>
    </row>
    <row r="22" spans="1:11" x14ac:dyDescent="0.3">
      <c r="A22" s="2" t="s">
        <v>638</v>
      </c>
      <c r="B22" s="2" t="s">
        <v>56</v>
      </c>
      <c r="C22" s="2" t="str">
        <f>_xlfn.XLOOKUP(B22,appointments!$B$2:$B$201,appointments!$C$2:$C$201)</f>
        <v>D009</v>
      </c>
      <c r="D22" s="2" t="str">
        <f>_xlfn.XLOOKUP(C22,Doctor!$A$2:$A$11,Doctor!$D$2:$D$11)</f>
        <v>Sarah Smith</v>
      </c>
      <c r="E22" s="2" t="s">
        <v>295</v>
      </c>
      <c r="F22" s="2" t="str">
        <f>_xlfn.XLOOKUP(E22,Treatment!$A:$A,Treatment!$C:$C)</f>
        <v>X-Ray</v>
      </c>
      <c r="G22" s="4">
        <v>45040</v>
      </c>
      <c r="H22" s="4" t="str">
        <f t="shared" si="0"/>
        <v>April-2023</v>
      </c>
      <c r="I22" s="2">
        <v>2926.23</v>
      </c>
      <c r="J22" s="2" t="s">
        <v>613</v>
      </c>
      <c r="K22" s="2" t="s">
        <v>619</v>
      </c>
    </row>
    <row r="23" spans="1:11" x14ac:dyDescent="0.3">
      <c r="A23" s="2" t="s">
        <v>639</v>
      </c>
      <c r="B23" s="2" t="s">
        <v>33</v>
      </c>
      <c r="C23" s="2" t="str">
        <f>_xlfn.XLOOKUP(B23,appointments!$B$2:$B$201,appointments!$C$2:$C$201)</f>
        <v>D003</v>
      </c>
      <c r="D23" s="2" t="str">
        <f>_xlfn.XLOOKUP(C23,Doctor!$A$2:$A$11,Doctor!$D$2:$D$11)</f>
        <v>Jane Smith</v>
      </c>
      <c r="E23" s="2" t="s">
        <v>296</v>
      </c>
      <c r="F23" s="2" t="str">
        <f>_xlfn.XLOOKUP(E23,Treatment!$A:$A,Treatment!$C:$C)</f>
        <v>Physiotherapy</v>
      </c>
      <c r="G23" s="4">
        <v>45244</v>
      </c>
      <c r="H23" s="4" t="str">
        <f t="shared" si="0"/>
        <v>November-2023</v>
      </c>
      <c r="I23" s="2">
        <v>1900.88</v>
      </c>
      <c r="J23" s="2" t="s">
        <v>621</v>
      </c>
      <c r="K23" s="2" t="s">
        <v>619</v>
      </c>
    </row>
    <row r="24" spans="1:11" x14ac:dyDescent="0.3">
      <c r="A24" s="2" t="s">
        <v>640</v>
      </c>
      <c r="B24" s="2" t="s">
        <v>59</v>
      </c>
      <c r="C24" s="2" t="str">
        <f>_xlfn.XLOOKUP(B24,appointments!$B$2:$B$201,appointments!$C$2:$C$201)</f>
        <v>D009</v>
      </c>
      <c r="D24" s="2" t="str">
        <f>_xlfn.XLOOKUP(C24,Doctor!$A$2:$A$11,Doctor!$D$2:$D$11)</f>
        <v>Sarah Smith</v>
      </c>
      <c r="E24" s="2" t="s">
        <v>297</v>
      </c>
      <c r="F24" s="2" t="str">
        <f>_xlfn.XLOOKUP(E24,Treatment!$A:$A,Treatment!$C:$C)</f>
        <v>MRI</v>
      </c>
      <c r="G24" s="4">
        <v>45055</v>
      </c>
      <c r="H24" s="4" t="str">
        <f t="shared" si="0"/>
        <v>May-2023</v>
      </c>
      <c r="I24" s="2">
        <v>3246.5</v>
      </c>
      <c r="J24" s="2" t="s">
        <v>621</v>
      </c>
      <c r="K24" s="2" t="s">
        <v>614</v>
      </c>
    </row>
    <row r="25" spans="1:11" x14ac:dyDescent="0.3">
      <c r="A25" s="2" t="s">
        <v>641</v>
      </c>
      <c r="B25" s="2" t="s">
        <v>61</v>
      </c>
      <c r="C25" s="2" t="str">
        <f>_xlfn.XLOOKUP(B25,appointments!$B$2:$B$201,appointments!$C$2:$C$201)</f>
        <v>D008</v>
      </c>
      <c r="D25" s="2" t="str">
        <f>_xlfn.XLOOKUP(C25,Doctor!$A$2:$A$11,Doctor!$D$2:$D$11)</f>
        <v>Linda Brown</v>
      </c>
      <c r="E25" s="2" t="s">
        <v>298</v>
      </c>
      <c r="F25" s="2" t="str">
        <f>_xlfn.XLOOKUP(E25,Treatment!$A:$A,Treatment!$C:$C)</f>
        <v>ECG</v>
      </c>
      <c r="G25" s="4">
        <v>45098</v>
      </c>
      <c r="H25" s="4" t="str">
        <f t="shared" si="0"/>
        <v>June-2023</v>
      </c>
      <c r="I25" s="2">
        <v>3722.68</v>
      </c>
      <c r="J25" s="2" t="s">
        <v>624</v>
      </c>
      <c r="K25" s="2" t="s">
        <v>614</v>
      </c>
    </row>
    <row r="26" spans="1:11" x14ac:dyDescent="0.3">
      <c r="A26" s="2" t="s">
        <v>642</v>
      </c>
      <c r="B26" s="2" t="s">
        <v>63</v>
      </c>
      <c r="C26" s="2" t="str">
        <f>_xlfn.XLOOKUP(B26,appointments!$B$2:$B$201,appointments!$C$2:$C$201)</f>
        <v>D001</v>
      </c>
      <c r="D26" s="2" t="str">
        <f>_xlfn.XLOOKUP(C26,Doctor!$A$2:$A$11,Doctor!$D$2:$D$11)</f>
        <v>David Taylor</v>
      </c>
      <c r="E26" s="2" t="s">
        <v>299</v>
      </c>
      <c r="F26" s="2" t="str">
        <f>_xlfn.XLOOKUP(E26,Treatment!$A:$A,Treatment!$C:$C)</f>
        <v>ECG</v>
      </c>
      <c r="G26" s="4">
        <v>44982</v>
      </c>
      <c r="H26" s="4" t="str">
        <f t="shared" si="0"/>
        <v>February-2023</v>
      </c>
      <c r="I26" s="2">
        <v>1726.81</v>
      </c>
      <c r="J26" s="2" t="s">
        <v>624</v>
      </c>
      <c r="K26" s="2" t="s">
        <v>619</v>
      </c>
    </row>
    <row r="27" spans="1:11" x14ac:dyDescent="0.3">
      <c r="A27" s="2" t="s">
        <v>643</v>
      </c>
      <c r="B27" s="2" t="s">
        <v>65</v>
      </c>
      <c r="C27" s="2" t="str">
        <f>_xlfn.XLOOKUP(B27,appointments!$B$2:$B$201,appointments!$C$2:$C$201)</f>
        <v>D006</v>
      </c>
      <c r="D27" s="2" t="str">
        <f>_xlfn.XLOOKUP(C27,Doctor!$A$2:$A$11,Doctor!$D$2:$D$11)</f>
        <v>Alex Davis</v>
      </c>
      <c r="E27" s="2" t="s">
        <v>300</v>
      </c>
      <c r="F27" s="2" t="str">
        <f>_xlfn.XLOOKUP(E27,Treatment!$A:$A,Treatment!$C:$C)</f>
        <v>Chemotherapy</v>
      </c>
      <c r="G27" s="4">
        <v>45002</v>
      </c>
      <c r="H27" s="4" t="str">
        <f t="shared" si="0"/>
        <v>March-2023</v>
      </c>
      <c r="I27" s="2">
        <v>2360.9699999999998</v>
      </c>
      <c r="J27" s="2" t="s">
        <v>613</v>
      </c>
      <c r="K27" s="2" t="s">
        <v>616</v>
      </c>
    </row>
    <row r="28" spans="1:11" x14ac:dyDescent="0.3">
      <c r="A28" s="2" t="s">
        <v>644</v>
      </c>
      <c r="B28" s="2" t="s">
        <v>33</v>
      </c>
      <c r="C28" s="2" t="str">
        <f>_xlfn.XLOOKUP(B28,appointments!$B$2:$B$201,appointments!$C$2:$C$201)</f>
        <v>D003</v>
      </c>
      <c r="D28" s="2" t="str">
        <f>_xlfn.XLOOKUP(C28,Doctor!$A$2:$A$11,Doctor!$D$2:$D$11)</f>
        <v>Jane Smith</v>
      </c>
      <c r="E28" s="2" t="s">
        <v>301</v>
      </c>
      <c r="F28" s="2" t="str">
        <f>_xlfn.XLOOKUP(E28,Treatment!$A:$A,Treatment!$C:$C)</f>
        <v>X-Ray</v>
      </c>
      <c r="G28" s="4">
        <v>45244</v>
      </c>
      <c r="H28" s="4" t="str">
        <f t="shared" si="0"/>
        <v>November-2023</v>
      </c>
      <c r="I28" s="2">
        <v>1048.49</v>
      </c>
      <c r="J28" s="2" t="s">
        <v>613</v>
      </c>
      <c r="K28" s="2" t="s">
        <v>614</v>
      </c>
    </row>
    <row r="29" spans="1:11" x14ac:dyDescent="0.3">
      <c r="A29" s="2" t="s">
        <v>645</v>
      </c>
      <c r="B29" s="2" t="s">
        <v>43</v>
      </c>
      <c r="C29" s="2" t="str">
        <f>_xlfn.XLOOKUP(B29,appointments!$B$2:$B$201,appointments!$C$2:$C$201)</f>
        <v>D010</v>
      </c>
      <c r="D29" s="2" t="str">
        <f>_xlfn.XLOOKUP(C29,Doctor!$A$2:$A$11,Doctor!$D$2:$D$11)</f>
        <v>Linda Wilson</v>
      </c>
      <c r="E29" s="2" t="s">
        <v>302</v>
      </c>
      <c r="F29" s="2" t="str">
        <f>_xlfn.XLOOKUP(E29,Treatment!$A:$A,Treatment!$C:$C)</f>
        <v>Chemotherapy</v>
      </c>
      <c r="G29" s="4">
        <v>45228</v>
      </c>
      <c r="H29" s="4" t="str">
        <f t="shared" si="0"/>
        <v>October-2023</v>
      </c>
      <c r="I29" s="2">
        <v>1315.17</v>
      </c>
      <c r="J29" s="2" t="s">
        <v>621</v>
      </c>
      <c r="K29" s="2" t="s">
        <v>616</v>
      </c>
    </row>
    <row r="30" spans="1:11" x14ac:dyDescent="0.3">
      <c r="A30" s="2" t="s">
        <v>646</v>
      </c>
      <c r="B30" s="2" t="s">
        <v>27</v>
      </c>
      <c r="C30" s="2" t="str">
        <f>_xlfn.XLOOKUP(B30,appointments!$B$2:$B$201,appointments!$C$2:$C$201)</f>
        <v>D010</v>
      </c>
      <c r="D30" s="2" t="str">
        <f>_xlfn.XLOOKUP(C30,Doctor!$A$2:$A$11,Doctor!$D$2:$D$11)</f>
        <v>Linda Wilson</v>
      </c>
      <c r="E30" s="2" t="s">
        <v>303</v>
      </c>
      <c r="F30" s="2" t="str">
        <f>_xlfn.XLOOKUP(E30,Treatment!$A:$A,Treatment!$C:$C)</f>
        <v>MRI</v>
      </c>
      <c r="G30" s="4">
        <v>45102</v>
      </c>
      <c r="H30" s="4" t="str">
        <f t="shared" si="0"/>
        <v>June-2023</v>
      </c>
      <c r="I30" s="2">
        <v>3565.03</v>
      </c>
      <c r="J30" s="2" t="s">
        <v>613</v>
      </c>
      <c r="K30" s="2" t="s">
        <v>616</v>
      </c>
    </row>
    <row r="31" spans="1:11" x14ac:dyDescent="0.3">
      <c r="A31" s="2" t="s">
        <v>647</v>
      </c>
      <c r="B31" s="2" t="s">
        <v>45</v>
      </c>
      <c r="C31" s="2" t="str">
        <f>_xlfn.XLOOKUP(B31,appointments!$B$2:$B$201,appointments!$C$2:$C$201)</f>
        <v>D004</v>
      </c>
      <c r="D31" s="2" t="str">
        <f>_xlfn.XLOOKUP(C31,Doctor!$A$2:$A$11,Doctor!$D$2:$D$11)</f>
        <v>David Jones</v>
      </c>
      <c r="E31" s="2" t="s">
        <v>304</v>
      </c>
      <c r="F31" s="2" t="str">
        <f>_xlfn.XLOOKUP(E31,Treatment!$A:$A,Treatment!$C:$C)</f>
        <v>Chemotherapy</v>
      </c>
      <c r="G31" s="4">
        <v>45167</v>
      </c>
      <c r="H31" s="4" t="str">
        <f t="shared" si="0"/>
        <v>August-2023</v>
      </c>
      <c r="I31" s="2">
        <v>1316.47</v>
      </c>
      <c r="J31" s="2" t="s">
        <v>621</v>
      </c>
      <c r="K31" s="2" t="s">
        <v>614</v>
      </c>
    </row>
    <row r="32" spans="1:11" x14ac:dyDescent="0.3">
      <c r="A32" s="2" t="s">
        <v>648</v>
      </c>
      <c r="B32" s="2" t="s">
        <v>45</v>
      </c>
      <c r="C32" s="2" t="str">
        <f>_xlfn.XLOOKUP(B32,appointments!$B$2:$B$201,appointments!$C$2:$C$201)</f>
        <v>D004</v>
      </c>
      <c r="D32" s="2" t="str">
        <f>_xlfn.XLOOKUP(C32,Doctor!$A$2:$A$11,Doctor!$D$2:$D$11)</f>
        <v>David Jones</v>
      </c>
      <c r="E32" s="2" t="s">
        <v>305</v>
      </c>
      <c r="F32" s="2" t="str">
        <f>_xlfn.XLOOKUP(E32,Treatment!$A:$A,Treatment!$C:$C)</f>
        <v>ECG</v>
      </c>
      <c r="G32" s="4">
        <v>45020</v>
      </c>
      <c r="H32" s="4" t="str">
        <f t="shared" si="0"/>
        <v>April-2023</v>
      </c>
      <c r="I32" s="2">
        <v>2863.24</v>
      </c>
      <c r="J32" s="2" t="s">
        <v>621</v>
      </c>
      <c r="K32" s="2" t="s">
        <v>614</v>
      </c>
    </row>
    <row r="33" spans="1:11" x14ac:dyDescent="0.3">
      <c r="A33" s="2" t="s">
        <v>649</v>
      </c>
      <c r="B33" s="2" t="s">
        <v>10</v>
      </c>
      <c r="C33" s="2" t="str">
        <f>_xlfn.XLOOKUP(B33,appointments!$B$2:$B$201,appointments!$C$2:$C$201)</f>
        <v>D004</v>
      </c>
      <c r="D33" s="2" t="str">
        <f>_xlfn.XLOOKUP(C33,Doctor!$A$2:$A$11,Doctor!$D$2:$D$11)</f>
        <v>David Jones</v>
      </c>
      <c r="E33" s="2" t="s">
        <v>306</v>
      </c>
      <c r="F33" s="2" t="str">
        <f>_xlfn.XLOOKUP(E33,Treatment!$A:$A,Treatment!$C:$C)</f>
        <v>ECG</v>
      </c>
      <c r="G33" s="4">
        <v>45236</v>
      </c>
      <c r="H33" s="4" t="str">
        <f t="shared" si="0"/>
        <v>November-2023</v>
      </c>
      <c r="I33" s="2">
        <v>3690.71</v>
      </c>
      <c r="J33" s="2" t="s">
        <v>613</v>
      </c>
      <c r="K33" s="2" t="s">
        <v>616</v>
      </c>
    </row>
    <row r="34" spans="1:11" x14ac:dyDescent="0.3">
      <c r="A34" s="2" t="s">
        <v>650</v>
      </c>
      <c r="B34" s="2" t="s">
        <v>74</v>
      </c>
      <c r="C34" s="2" t="str">
        <f>_xlfn.XLOOKUP(B34,appointments!$B$2:$B$201,appointments!$C$2:$C$201)</f>
        <v>D005</v>
      </c>
      <c r="D34" s="2" t="str">
        <f>_xlfn.XLOOKUP(C34,Doctor!$A$2:$A$11,Doctor!$D$2:$D$11)</f>
        <v>Sarah Taylor</v>
      </c>
      <c r="E34" s="2" t="s">
        <v>307</v>
      </c>
      <c r="F34" s="2" t="str">
        <f>_xlfn.XLOOKUP(E34,Treatment!$A:$A,Treatment!$C:$C)</f>
        <v>Physiotherapy</v>
      </c>
      <c r="G34" s="4">
        <v>45192</v>
      </c>
      <c r="H34" s="4" t="str">
        <f t="shared" si="0"/>
        <v>September-2023</v>
      </c>
      <c r="I34" s="2">
        <v>980.95</v>
      </c>
      <c r="J34" s="2" t="s">
        <v>621</v>
      </c>
      <c r="K34" s="2" t="s">
        <v>616</v>
      </c>
    </row>
    <row r="35" spans="1:11" x14ac:dyDescent="0.3">
      <c r="A35" s="2" t="s">
        <v>651</v>
      </c>
      <c r="B35" s="2" t="s">
        <v>30</v>
      </c>
      <c r="C35" s="2" t="str">
        <f>_xlfn.XLOOKUP(B35,appointments!$B$2:$B$201,appointments!$C$2:$C$201)</f>
        <v>D010</v>
      </c>
      <c r="D35" s="2" t="str">
        <f>_xlfn.XLOOKUP(C35,Doctor!$A$2:$A$11,Doctor!$D$2:$D$11)</f>
        <v>Linda Wilson</v>
      </c>
      <c r="E35" s="2" t="s">
        <v>308</v>
      </c>
      <c r="F35" s="2" t="str">
        <f>_xlfn.XLOOKUP(E35,Treatment!$A:$A,Treatment!$C:$C)</f>
        <v>Physiotherapy</v>
      </c>
      <c r="G35" s="4">
        <v>45090</v>
      </c>
      <c r="H35" s="4" t="str">
        <f t="shared" si="0"/>
        <v>June-2023</v>
      </c>
      <c r="I35" s="2">
        <v>3052.9</v>
      </c>
      <c r="J35" s="2" t="s">
        <v>624</v>
      </c>
      <c r="K35" s="2" t="s">
        <v>619</v>
      </c>
    </row>
    <row r="36" spans="1:11" x14ac:dyDescent="0.3">
      <c r="A36" s="2" t="s">
        <v>652</v>
      </c>
      <c r="B36" s="2" t="s">
        <v>77</v>
      </c>
      <c r="C36" s="2" t="str">
        <f>_xlfn.XLOOKUP(B36,appointments!$B$2:$B$201,appointments!$C$2:$C$201)</f>
        <v>D003</v>
      </c>
      <c r="D36" s="2" t="str">
        <f>_xlfn.XLOOKUP(C36,Doctor!$A$2:$A$11,Doctor!$D$2:$D$11)</f>
        <v>Jane Smith</v>
      </c>
      <c r="E36" s="2" t="s">
        <v>309</v>
      </c>
      <c r="F36" s="2" t="str">
        <f>_xlfn.XLOOKUP(E36,Treatment!$A:$A,Treatment!$C:$C)</f>
        <v>MRI</v>
      </c>
      <c r="G36" s="4">
        <v>45034</v>
      </c>
      <c r="H36" s="4" t="str">
        <f t="shared" si="0"/>
        <v>April-2023</v>
      </c>
      <c r="I36" s="2">
        <v>1654.53</v>
      </c>
      <c r="J36" s="2" t="s">
        <v>613</v>
      </c>
      <c r="K36" s="2" t="s">
        <v>619</v>
      </c>
    </row>
    <row r="37" spans="1:11" x14ac:dyDescent="0.3">
      <c r="A37" s="2" t="s">
        <v>653</v>
      </c>
      <c r="B37" s="2" t="s">
        <v>79</v>
      </c>
      <c r="C37" s="2" t="str">
        <f>_xlfn.XLOOKUP(B37,appointments!$B$2:$B$201,appointments!$C$2:$C$201)</f>
        <v>D003</v>
      </c>
      <c r="D37" s="2" t="str">
        <f>_xlfn.XLOOKUP(C37,Doctor!$A$2:$A$11,Doctor!$D$2:$D$11)</f>
        <v>Jane Smith</v>
      </c>
      <c r="E37" s="2" t="s">
        <v>310</v>
      </c>
      <c r="F37" s="2" t="str">
        <f>_xlfn.XLOOKUP(E37,Treatment!$A:$A,Treatment!$C:$C)</f>
        <v>X-Ray</v>
      </c>
      <c r="G37" s="4">
        <v>44934</v>
      </c>
      <c r="H37" s="4" t="str">
        <f t="shared" si="0"/>
        <v>January-2023</v>
      </c>
      <c r="I37" s="2">
        <v>4833.17</v>
      </c>
      <c r="J37" s="2" t="s">
        <v>624</v>
      </c>
      <c r="K37" s="2" t="s">
        <v>614</v>
      </c>
    </row>
    <row r="38" spans="1:11" x14ac:dyDescent="0.3">
      <c r="A38" s="2" t="s">
        <v>654</v>
      </c>
      <c r="B38" s="2" t="s">
        <v>63</v>
      </c>
      <c r="C38" s="2" t="str">
        <f>_xlfn.XLOOKUP(B38,appointments!$B$2:$B$201,appointments!$C$2:$C$201)</f>
        <v>D001</v>
      </c>
      <c r="D38" s="2" t="str">
        <f>_xlfn.XLOOKUP(C38,Doctor!$A$2:$A$11,Doctor!$D$2:$D$11)</f>
        <v>David Taylor</v>
      </c>
      <c r="E38" s="2" t="s">
        <v>311</v>
      </c>
      <c r="F38" s="2" t="str">
        <f>_xlfn.XLOOKUP(E38,Treatment!$A:$A,Treatment!$C:$C)</f>
        <v>Chemotherapy</v>
      </c>
      <c r="G38" s="4">
        <v>45013</v>
      </c>
      <c r="H38" s="4" t="str">
        <f t="shared" si="0"/>
        <v>March-2023</v>
      </c>
      <c r="I38" s="2">
        <v>2675.96</v>
      </c>
      <c r="J38" s="2" t="s">
        <v>613</v>
      </c>
      <c r="K38" s="2" t="s">
        <v>619</v>
      </c>
    </row>
    <row r="39" spans="1:11" x14ac:dyDescent="0.3">
      <c r="A39" s="2" t="s">
        <v>655</v>
      </c>
      <c r="B39" s="2" t="s">
        <v>49</v>
      </c>
      <c r="C39" s="2" t="str">
        <f>_xlfn.XLOOKUP(B39,appointments!$B$2:$B$201,appointments!$C$2:$C$201)</f>
        <v>D009</v>
      </c>
      <c r="D39" s="2" t="str">
        <f>_xlfn.XLOOKUP(C39,Doctor!$A$2:$A$11,Doctor!$D$2:$D$11)</f>
        <v>Sarah Smith</v>
      </c>
      <c r="E39" s="2" t="s">
        <v>312</v>
      </c>
      <c r="F39" s="2" t="str">
        <f>_xlfn.XLOOKUP(E39,Treatment!$A:$A,Treatment!$C:$C)</f>
        <v>MRI</v>
      </c>
      <c r="G39" s="4">
        <v>44980</v>
      </c>
      <c r="H39" s="4" t="str">
        <f t="shared" si="0"/>
        <v>February-2023</v>
      </c>
      <c r="I39" s="2">
        <v>4126.97</v>
      </c>
      <c r="J39" s="2" t="s">
        <v>621</v>
      </c>
      <c r="K39" s="2" t="s">
        <v>619</v>
      </c>
    </row>
    <row r="40" spans="1:11" x14ac:dyDescent="0.3">
      <c r="A40" s="2" t="s">
        <v>656</v>
      </c>
      <c r="B40" s="2" t="s">
        <v>83</v>
      </c>
      <c r="C40" s="2" t="str">
        <f>_xlfn.XLOOKUP(B40,appointments!$B$2:$B$201,appointments!$C$2:$C$201)</f>
        <v>D002</v>
      </c>
      <c r="D40" s="2" t="str">
        <f>_xlfn.XLOOKUP(C40,Doctor!$A$2:$A$11,Doctor!$D$2:$D$11)</f>
        <v>Jane Davis</v>
      </c>
      <c r="E40" s="2" t="s">
        <v>313</v>
      </c>
      <c r="F40" s="2" t="str">
        <f>_xlfn.XLOOKUP(E40,Treatment!$A:$A,Treatment!$C:$C)</f>
        <v>Physiotherapy</v>
      </c>
      <c r="G40" s="4">
        <v>45033</v>
      </c>
      <c r="H40" s="4" t="str">
        <f t="shared" si="0"/>
        <v>April-2023</v>
      </c>
      <c r="I40" s="2">
        <v>2976.02</v>
      </c>
      <c r="J40" s="2" t="s">
        <v>613</v>
      </c>
      <c r="K40" s="2" t="s">
        <v>619</v>
      </c>
    </row>
    <row r="41" spans="1:11" x14ac:dyDescent="0.3">
      <c r="A41" s="2" t="s">
        <v>657</v>
      </c>
      <c r="B41" s="2" t="s">
        <v>85</v>
      </c>
      <c r="C41" s="2" t="str">
        <f>_xlfn.XLOOKUP(B41,appointments!$B$2:$B$201,appointments!$C$2:$C$201)</f>
        <v>D009</v>
      </c>
      <c r="D41" s="2" t="str">
        <f>_xlfn.XLOOKUP(C41,Doctor!$A$2:$A$11,Doctor!$D$2:$D$11)</f>
        <v>Sarah Smith</v>
      </c>
      <c r="E41" s="2" t="s">
        <v>314</v>
      </c>
      <c r="F41" s="2" t="str">
        <f>_xlfn.XLOOKUP(E41,Treatment!$A:$A,Treatment!$C:$C)</f>
        <v>Chemotherapy</v>
      </c>
      <c r="G41" s="4">
        <v>45012</v>
      </c>
      <c r="H41" s="4" t="str">
        <f t="shared" si="0"/>
        <v>March-2023</v>
      </c>
      <c r="I41" s="2">
        <v>695.36</v>
      </c>
      <c r="J41" s="2" t="s">
        <v>624</v>
      </c>
      <c r="K41" s="2" t="s">
        <v>619</v>
      </c>
    </row>
    <row r="42" spans="1:11" x14ac:dyDescent="0.3">
      <c r="A42" s="2" t="s">
        <v>658</v>
      </c>
      <c r="B42" s="2" t="s">
        <v>33</v>
      </c>
      <c r="C42" s="2" t="str">
        <f>_xlfn.XLOOKUP(B42,appointments!$B$2:$B$201,appointments!$C$2:$C$201)</f>
        <v>D003</v>
      </c>
      <c r="D42" s="2" t="str">
        <f>_xlfn.XLOOKUP(C42,Doctor!$A$2:$A$11,Doctor!$D$2:$D$11)</f>
        <v>Jane Smith</v>
      </c>
      <c r="E42" s="2" t="s">
        <v>315</v>
      </c>
      <c r="F42" s="2" t="str">
        <f>_xlfn.XLOOKUP(E42,Treatment!$A:$A,Treatment!$C:$C)</f>
        <v>Physiotherapy</v>
      </c>
      <c r="G42" s="4">
        <v>44927</v>
      </c>
      <c r="H42" s="4" t="str">
        <f t="shared" si="0"/>
        <v>January-2023</v>
      </c>
      <c r="I42" s="2">
        <v>3349.18</v>
      </c>
      <c r="J42" s="2" t="s">
        <v>621</v>
      </c>
      <c r="K42" s="2" t="s">
        <v>616</v>
      </c>
    </row>
    <row r="43" spans="1:11" x14ac:dyDescent="0.3">
      <c r="A43" s="2" t="s">
        <v>659</v>
      </c>
      <c r="B43" s="2" t="s">
        <v>77</v>
      </c>
      <c r="C43" s="2" t="str">
        <f>_xlfn.XLOOKUP(B43,appointments!$B$2:$B$201,appointments!$C$2:$C$201)</f>
        <v>D003</v>
      </c>
      <c r="D43" s="2" t="str">
        <f>_xlfn.XLOOKUP(C43,Doctor!$A$2:$A$11,Doctor!$D$2:$D$11)</f>
        <v>Jane Smith</v>
      </c>
      <c r="E43" s="2" t="s">
        <v>316</v>
      </c>
      <c r="F43" s="2" t="str">
        <f>_xlfn.XLOOKUP(E43,Treatment!$A:$A,Treatment!$C:$C)</f>
        <v>Chemotherapy</v>
      </c>
      <c r="G43" s="4">
        <v>45006</v>
      </c>
      <c r="H43" s="4" t="str">
        <f t="shared" si="0"/>
        <v>March-2023</v>
      </c>
      <c r="I43" s="2">
        <v>4781.32</v>
      </c>
      <c r="J43" s="2" t="s">
        <v>613</v>
      </c>
      <c r="K43" s="2" t="s">
        <v>614</v>
      </c>
    </row>
    <row r="44" spans="1:11" x14ac:dyDescent="0.3">
      <c r="A44" s="2" t="s">
        <v>660</v>
      </c>
      <c r="B44" s="2" t="s">
        <v>1</v>
      </c>
      <c r="C44" s="2" t="str">
        <f>_xlfn.XLOOKUP(B44,appointments!$B$2:$B$201,appointments!$C$2:$C$201)</f>
        <v>D009</v>
      </c>
      <c r="D44" s="2" t="str">
        <f>_xlfn.XLOOKUP(C44,Doctor!$A$2:$A$11,Doctor!$D$2:$D$11)</f>
        <v>Sarah Smith</v>
      </c>
      <c r="E44" s="2" t="s">
        <v>317</v>
      </c>
      <c r="F44" s="2" t="str">
        <f>_xlfn.XLOOKUP(E44,Treatment!$A:$A,Treatment!$C:$C)</f>
        <v>X-Ray</v>
      </c>
      <c r="G44" s="4">
        <v>45014</v>
      </c>
      <c r="H44" s="4" t="str">
        <f t="shared" si="0"/>
        <v>March-2023</v>
      </c>
      <c r="I44" s="2">
        <v>3207.25</v>
      </c>
      <c r="J44" s="2" t="s">
        <v>613</v>
      </c>
      <c r="K44" s="2" t="s">
        <v>619</v>
      </c>
    </row>
    <row r="45" spans="1:11" x14ac:dyDescent="0.3">
      <c r="A45" s="2" t="s">
        <v>661</v>
      </c>
      <c r="B45" s="2" t="s">
        <v>90</v>
      </c>
      <c r="C45" s="2" t="str">
        <f>_xlfn.XLOOKUP(B45,appointments!$B$2:$B$201,appointments!$C$2:$C$201)</f>
        <v>D006</v>
      </c>
      <c r="D45" s="2" t="str">
        <f>_xlfn.XLOOKUP(C45,Doctor!$A$2:$A$11,Doctor!$D$2:$D$11)</f>
        <v>Alex Davis</v>
      </c>
      <c r="E45" s="2" t="s">
        <v>318</v>
      </c>
      <c r="F45" s="2" t="str">
        <f>_xlfn.XLOOKUP(E45,Treatment!$A:$A,Treatment!$C:$C)</f>
        <v>MRI</v>
      </c>
      <c r="G45" s="4">
        <v>45189</v>
      </c>
      <c r="H45" s="4" t="str">
        <f t="shared" si="0"/>
        <v>September-2023</v>
      </c>
      <c r="I45" s="2">
        <v>4186.3500000000004</v>
      </c>
      <c r="J45" s="2" t="s">
        <v>613</v>
      </c>
      <c r="K45" s="2" t="s">
        <v>616</v>
      </c>
    </row>
    <row r="46" spans="1:11" x14ac:dyDescent="0.3">
      <c r="A46" s="2" t="s">
        <v>662</v>
      </c>
      <c r="B46" s="2" t="s">
        <v>85</v>
      </c>
      <c r="C46" s="2" t="str">
        <f>_xlfn.XLOOKUP(B46,appointments!$B$2:$B$201,appointments!$C$2:$C$201)</f>
        <v>D009</v>
      </c>
      <c r="D46" s="2" t="str">
        <f>_xlfn.XLOOKUP(C46,Doctor!$A$2:$A$11,Doctor!$D$2:$D$11)</f>
        <v>Sarah Smith</v>
      </c>
      <c r="E46" s="2" t="s">
        <v>319</v>
      </c>
      <c r="F46" s="2" t="str">
        <f>_xlfn.XLOOKUP(E46,Treatment!$A:$A,Treatment!$C:$C)</f>
        <v>Chemotherapy</v>
      </c>
      <c r="G46" s="4">
        <v>45197</v>
      </c>
      <c r="H46" s="4" t="str">
        <f t="shared" si="0"/>
        <v>September-2023</v>
      </c>
      <c r="I46" s="2">
        <v>4478.93</v>
      </c>
      <c r="J46" s="2" t="s">
        <v>624</v>
      </c>
      <c r="K46" s="2" t="s">
        <v>616</v>
      </c>
    </row>
    <row r="47" spans="1:11" x14ac:dyDescent="0.3">
      <c r="A47" s="2" t="s">
        <v>663</v>
      </c>
      <c r="B47" s="2" t="s">
        <v>93</v>
      </c>
      <c r="C47" s="2" t="str">
        <f>_xlfn.XLOOKUP(B47,appointments!$B$2:$B$201,appointments!$C$2:$C$201)</f>
        <v>D003</v>
      </c>
      <c r="D47" s="2" t="str">
        <f>_xlfn.XLOOKUP(C47,Doctor!$A$2:$A$11,Doctor!$D$2:$D$11)</f>
        <v>Jane Smith</v>
      </c>
      <c r="E47" s="2" t="s">
        <v>320</v>
      </c>
      <c r="F47" s="2" t="str">
        <f>_xlfn.XLOOKUP(E47,Treatment!$A:$A,Treatment!$C:$C)</f>
        <v>ECG</v>
      </c>
      <c r="G47" s="4">
        <v>45280</v>
      </c>
      <c r="H47" s="4" t="str">
        <f t="shared" si="0"/>
        <v>December-2023</v>
      </c>
      <c r="I47" s="2">
        <v>1526.36</v>
      </c>
      <c r="J47" s="2" t="s">
        <v>624</v>
      </c>
      <c r="K47" s="2" t="s">
        <v>616</v>
      </c>
    </row>
    <row r="48" spans="1:11" x14ac:dyDescent="0.3">
      <c r="A48" s="2" t="s">
        <v>664</v>
      </c>
      <c r="B48" s="2" t="s">
        <v>6</v>
      </c>
      <c r="C48" s="2" t="str">
        <f>_xlfn.XLOOKUP(B48,appointments!$B$2:$B$201,appointments!$C$2:$C$201)</f>
        <v>D004</v>
      </c>
      <c r="D48" s="2" t="str">
        <f>_xlfn.XLOOKUP(C48,Doctor!$A$2:$A$11,Doctor!$D$2:$D$11)</f>
        <v>David Jones</v>
      </c>
      <c r="E48" s="2" t="s">
        <v>321</v>
      </c>
      <c r="F48" s="2" t="str">
        <f>_xlfn.XLOOKUP(E48,Treatment!$A:$A,Treatment!$C:$C)</f>
        <v>ECG</v>
      </c>
      <c r="G48" s="4">
        <v>45048</v>
      </c>
      <c r="H48" s="4" t="str">
        <f t="shared" si="0"/>
        <v>May-2023</v>
      </c>
      <c r="I48" s="2">
        <v>1454.2</v>
      </c>
      <c r="J48" s="2" t="s">
        <v>613</v>
      </c>
      <c r="K48" s="2" t="s">
        <v>619</v>
      </c>
    </row>
    <row r="49" spans="1:11" x14ac:dyDescent="0.3">
      <c r="A49" s="2" t="s">
        <v>665</v>
      </c>
      <c r="B49" s="2" t="s">
        <v>24</v>
      </c>
      <c r="C49" s="2" t="str">
        <f>_xlfn.XLOOKUP(B49,appointments!$B$2:$B$201,appointments!$C$2:$C$201)</f>
        <v>D007</v>
      </c>
      <c r="D49" s="2" t="str">
        <f>_xlfn.XLOOKUP(C49,Doctor!$A$2:$A$11,Doctor!$D$2:$D$11)</f>
        <v>Robert Davis</v>
      </c>
      <c r="E49" s="2" t="s">
        <v>322</v>
      </c>
      <c r="F49" s="2" t="str">
        <f>_xlfn.XLOOKUP(E49,Treatment!$A:$A,Treatment!$C:$C)</f>
        <v>Chemotherapy</v>
      </c>
      <c r="G49" s="4">
        <v>44942</v>
      </c>
      <c r="H49" s="4" t="str">
        <f t="shared" si="0"/>
        <v>January-2023</v>
      </c>
      <c r="I49" s="2">
        <v>3249.41</v>
      </c>
      <c r="J49" s="2" t="s">
        <v>621</v>
      </c>
      <c r="K49" s="2" t="s">
        <v>619</v>
      </c>
    </row>
    <row r="50" spans="1:11" x14ac:dyDescent="0.3">
      <c r="A50" s="2" t="s">
        <v>666</v>
      </c>
      <c r="B50" s="2" t="s">
        <v>33</v>
      </c>
      <c r="C50" s="2" t="str">
        <f>_xlfn.XLOOKUP(B50,appointments!$B$2:$B$201,appointments!$C$2:$C$201)</f>
        <v>D003</v>
      </c>
      <c r="D50" s="2" t="str">
        <f>_xlfn.XLOOKUP(C50,Doctor!$A$2:$A$11,Doctor!$D$2:$D$11)</f>
        <v>Jane Smith</v>
      </c>
      <c r="E50" s="2" t="s">
        <v>323</v>
      </c>
      <c r="F50" s="2" t="str">
        <f>_xlfn.XLOOKUP(E50,Treatment!$A:$A,Treatment!$C:$C)</f>
        <v>Chemotherapy</v>
      </c>
      <c r="G50" s="4">
        <v>45046</v>
      </c>
      <c r="H50" s="4" t="str">
        <f t="shared" si="0"/>
        <v>April-2023</v>
      </c>
      <c r="I50" s="2">
        <v>2349.63</v>
      </c>
      <c r="J50" s="2" t="s">
        <v>621</v>
      </c>
      <c r="K50" s="2" t="s">
        <v>614</v>
      </c>
    </row>
    <row r="51" spans="1:11" x14ac:dyDescent="0.3">
      <c r="A51" s="2" t="s">
        <v>667</v>
      </c>
      <c r="B51" s="2" t="s">
        <v>21</v>
      </c>
      <c r="C51" s="2" t="str">
        <f>_xlfn.XLOOKUP(B51,appointments!$B$2:$B$201,appointments!$C$2:$C$201)</f>
        <v>D006</v>
      </c>
      <c r="D51" s="2" t="str">
        <f>_xlfn.XLOOKUP(C51,Doctor!$A$2:$A$11,Doctor!$D$2:$D$11)</f>
        <v>Alex Davis</v>
      </c>
      <c r="E51" s="2" t="s">
        <v>324</v>
      </c>
      <c r="F51" s="2" t="str">
        <f>_xlfn.XLOOKUP(E51,Treatment!$A:$A,Treatment!$C:$C)</f>
        <v>Chemotherapy</v>
      </c>
      <c r="G51" s="4">
        <v>45154</v>
      </c>
      <c r="H51" s="4" t="str">
        <f t="shared" si="0"/>
        <v>August-2023</v>
      </c>
      <c r="I51" s="2">
        <v>4279.38</v>
      </c>
      <c r="J51" s="2" t="s">
        <v>624</v>
      </c>
      <c r="K51" s="2" t="s">
        <v>619</v>
      </c>
    </row>
    <row r="52" spans="1:11" x14ac:dyDescent="0.3">
      <c r="A52" s="2" t="s">
        <v>668</v>
      </c>
      <c r="B52" s="2" t="s">
        <v>99</v>
      </c>
      <c r="C52" s="2" t="str">
        <f>_xlfn.XLOOKUP(B52,appointments!$B$2:$B$201,appointments!$C$2:$C$201)</f>
        <v>D006</v>
      </c>
      <c r="D52" s="2" t="str">
        <f>_xlfn.XLOOKUP(C52,Doctor!$A$2:$A$11,Doctor!$D$2:$D$11)</f>
        <v>Alex Davis</v>
      </c>
      <c r="E52" s="2" t="s">
        <v>325</v>
      </c>
      <c r="F52" s="2" t="str">
        <f>_xlfn.XLOOKUP(E52,Treatment!$A:$A,Treatment!$C:$C)</f>
        <v>ECG</v>
      </c>
      <c r="G52" s="4">
        <v>44961</v>
      </c>
      <c r="H52" s="4" t="str">
        <f t="shared" si="0"/>
        <v>February-2023</v>
      </c>
      <c r="I52" s="2">
        <v>4550.1000000000004</v>
      </c>
      <c r="J52" s="2" t="s">
        <v>621</v>
      </c>
      <c r="K52" s="2" t="s">
        <v>619</v>
      </c>
    </row>
    <row r="53" spans="1:11" x14ac:dyDescent="0.3">
      <c r="A53" s="2" t="s">
        <v>669</v>
      </c>
      <c r="B53" s="2" t="s">
        <v>27</v>
      </c>
      <c r="C53" s="2" t="str">
        <f>_xlfn.XLOOKUP(B53,appointments!$B$2:$B$201,appointments!$C$2:$C$201)</f>
        <v>D010</v>
      </c>
      <c r="D53" s="2" t="str">
        <f>_xlfn.XLOOKUP(C53,Doctor!$A$2:$A$11,Doctor!$D$2:$D$11)</f>
        <v>Linda Wilson</v>
      </c>
      <c r="E53" s="2" t="s">
        <v>326</v>
      </c>
      <c r="F53" s="2" t="str">
        <f>_xlfn.XLOOKUP(E53,Treatment!$A:$A,Treatment!$C:$C)</f>
        <v>ECG</v>
      </c>
      <c r="G53" s="4">
        <v>45119</v>
      </c>
      <c r="H53" s="4" t="str">
        <f t="shared" si="0"/>
        <v>July-2023</v>
      </c>
      <c r="I53" s="2">
        <v>2090.4</v>
      </c>
      <c r="J53" s="2" t="s">
        <v>624</v>
      </c>
      <c r="K53" s="2" t="s">
        <v>616</v>
      </c>
    </row>
    <row r="54" spans="1:11" x14ac:dyDescent="0.3">
      <c r="A54" s="2" t="s">
        <v>670</v>
      </c>
      <c r="B54" s="2" t="s">
        <v>102</v>
      </c>
      <c r="C54" s="2" t="str">
        <f>_xlfn.XLOOKUP(B54,appointments!$B$2:$B$201,appointments!$C$2:$C$201)</f>
        <v>D005</v>
      </c>
      <c r="D54" s="2" t="str">
        <f>_xlfn.XLOOKUP(C54,Doctor!$A$2:$A$11,Doctor!$D$2:$D$11)</f>
        <v>Sarah Taylor</v>
      </c>
      <c r="E54" s="2" t="s">
        <v>327</v>
      </c>
      <c r="F54" s="2" t="str">
        <f>_xlfn.XLOOKUP(E54,Treatment!$A:$A,Treatment!$C:$C)</f>
        <v>Chemotherapy</v>
      </c>
      <c r="G54" s="4">
        <v>44969</v>
      </c>
      <c r="H54" s="4" t="str">
        <f t="shared" si="0"/>
        <v>February-2023</v>
      </c>
      <c r="I54" s="2">
        <v>1565.92</v>
      </c>
      <c r="J54" s="2" t="s">
        <v>613</v>
      </c>
      <c r="K54" s="2" t="s">
        <v>614</v>
      </c>
    </row>
    <row r="55" spans="1:11" x14ac:dyDescent="0.3">
      <c r="A55" s="2" t="s">
        <v>671</v>
      </c>
      <c r="B55" s="2" t="s">
        <v>27</v>
      </c>
      <c r="C55" s="2" t="str">
        <f>_xlfn.XLOOKUP(B55,appointments!$B$2:$B$201,appointments!$C$2:$C$201)</f>
        <v>D010</v>
      </c>
      <c r="D55" s="2" t="str">
        <f>_xlfn.XLOOKUP(C55,Doctor!$A$2:$A$11,Doctor!$D$2:$D$11)</f>
        <v>Linda Wilson</v>
      </c>
      <c r="E55" s="2" t="s">
        <v>328</v>
      </c>
      <c r="F55" s="2" t="str">
        <f>_xlfn.XLOOKUP(E55,Treatment!$A:$A,Treatment!$C:$C)</f>
        <v>Physiotherapy</v>
      </c>
      <c r="G55" s="4">
        <v>45276</v>
      </c>
      <c r="H55" s="4" t="str">
        <f t="shared" si="0"/>
        <v>December-2023</v>
      </c>
      <c r="I55" s="2">
        <v>4012.36</v>
      </c>
      <c r="J55" s="2" t="s">
        <v>624</v>
      </c>
      <c r="K55" s="2" t="s">
        <v>619</v>
      </c>
    </row>
    <row r="56" spans="1:11" x14ac:dyDescent="0.3">
      <c r="A56" s="2" t="s">
        <v>672</v>
      </c>
      <c r="B56" s="2" t="s">
        <v>105</v>
      </c>
      <c r="C56" s="2" t="str">
        <f>_xlfn.XLOOKUP(B56,appointments!$B$2:$B$201,appointments!$C$2:$C$201)</f>
        <v>D010</v>
      </c>
      <c r="D56" s="2" t="str">
        <f>_xlfn.XLOOKUP(C56,Doctor!$A$2:$A$11,Doctor!$D$2:$D$11)</f>
        <v>Linda Wilson</v>
      </c>
      <c r="E56" s="2" t="s">
        <v>329</v>
      </c>
      <c r="F56" s="2" t="str">
        <f>_xlfn.XLOOKUP(E56,Treatment!$A:$A,Treatment!$C:$C)</f>
        <v>Physiotherapy</v>
      </c>
      <c r="G56" s="4">
        <v>45205</v>
      </c>
      <c r="H56" s="4" t="str">
        <f t="shared" si="0"/>
        <v>October-2023</v>
      </c>
      <c r="I56" s="2">
        <v>1736.63</v>
      </c>
      <c r="J56" s="2" t="s">
        <v>624</v>
      </c>
      <c r="K56" s="2" t="s">
        <v>619</v>
      </c>
    </row>
    <row r="57" spans="1:11" x14ac:dyDescent="0.3">
      <c r="A57" s="2" t="s">
        <v>673</v>
      </c>
      <c r="B57" s="2" t="s">
        <v>61</v>
      </c>
      <c r="C57" s="2" t="str">
        <f>_xlfn.XLOOKUP(B57,appointments!$B$2:$B$201,appointments!$C$2:$C$201)</f>
        <v>D008</v>
      </c>
      <c r="D57" s="2" t="str">
        <f>_xlfn.XLOOKUP(C57,Doctor!$A$2:$A$11,Doctor!$D$2:$D$11)</f>
        <v>Linda Brown</v>
      </c>
      <c r="E57" s="2" t="s">
        <v>330</v>
      </c>
      <c r="F57" s="2" t="str">
        <f>_xlfn.XLOOKUP(E57,Treatment!$A:$A,Treatment!$C:$C)</f>
        <v>X-Ray</v>
      </c>
      <c r="G57" s="4">
        <v>44928</v>
      </c>
      <c r="H57" s="4" t="str">
        <f t="shared" si="0"/>
        <v>January-2023</v>
      </c>
      <c r="I57" s="2">
        <v>4201.76</v>
      </c>
      <c r="J57" s="2" t="s">
        <v>613</v>
      </c>
      <c r="K57" s="2" t="s">
        <v>616</v>
      </c>
    </row>
    <row r="58" spans="1:11" x14ac:dyDescent="0.3">
      <c r="A58" s="2" t="s">
        <v>674</v>
      </c>
      <c r="B58" s="2" t="s">
        <v>56</v>
      </c>
      <c r="C58" s="2" t="str">
        <f>_xlfn.XLOOKUP(B58,appointments!$B$2:$B$201,appointments!$C$2:$C$201)</f>
        <v>D009</v>
      </c>
      <c r="D58" s="2" t="str">
        <f>_xlfn.XLOOKUP(C58,Doctor!$A$2:$A$11,Doctor!$D$2:$D$11)</f>
        <v>Sarah Smith</v>
      </c>
      <c r="E58" s="2" t="s">
        <v>331</v>
      </c>
      <c r="F58" s="2" t="str">
        <f>_xlfn.XLOOKUP(E58,Treatment!$A:$A,Treatment!$C:$C)</f>
        <v>MRI</v>
      </c>
      <c r="G58" s="4">
        <v>45031</v>
      </c>
      <c r="H58" s="4" t="str">
        <f t="shared" si="0"/>
        <v>April-2023</v>
      </c>
      <c r="I58" s="2">
        <v>2406.8200000000002</v>
      </c>
      <c r="J58" s="2" t="s">
        <v>621</v>
      </c>
      <c r="K58" s="2" t="s">
        <v>616</v>
      </c>
    </row>
    <row r="59" spans="1:11" x14ac:dyDescent="0.3">
      <c r="A59" s="2" t="s">
        <v>675</v>
      </c>
      <c r="B59" s="2" t="s">
        <v>6</v>
      </c>
      <c r="C59" s="2" t="str">
        <f>_xlfn.XLOOKUP(B59,appointments!$B$2:$B$201,appointments!$C$2:$C$201)</f>
        <v>D004</v>
      </c>
      <c r="D59" s="2" t="str">
        <f>_xlfn.XLOOKUP(C59,Doctor!$A$2:$A$11,Doctor!$D$2:$D$11)</f>
        <v>David Jones</v>
      </c>
      <c r="E59" s="2" t="s">
        <v>332</v>
      </c>
      <c r="F59" s="2" t="str">
        <f>_xlfn.XLOOKUP(E59,Treatment!$A:$A,Treatment!$C:$C)</f>
        <v>Physiotherapy</v>
      </c>
      <c r="G59" s="4">
        <v>45055</v>
      </c>
      <c r="H59" s="4" t="str">
        <f t="shared" si="0"/>
        <v>May-2023</v>
      </c>
      <c r="I59" s="2">
        <v>3503.97</v>
      </c>
      <c r="J59" s="2" t="s">
        <v>624</v>
      </c>
      <c r="K59" s="2" t="s">
        <v>619</v>
      </c>
    </row>
    <row r="60" spans="1:11" x14ac:dyDescent="0.3">
      <c r="A60" s="2" t="s">
        <v>676</v>
      </c>
      <c r="B60" s="2" t="s">
        <v>110</v>
      </c>
      <c r="C60" s="2" t="str">
        <f>_xlfn.XLOOKUP(B60,appointments!$B$2:$B$201,appointments!$C$2:$C$201)</f>
        <v>D010</v>
      </c>
      <c r="D60" s="2" t="str">
        <f>_xlfn.XLOOKUP(C60,Doctor!$A$2:$A$11,Doctor!$D$2:$D$11)</f>
        <v>Linda Wilson</v>
      </c>
      <c r="E60" s="2" t="s">
        <v>333</v>
      </c>
      <c r="F60" s="2" t="str">
        <f>_xlfn.XLOOKUP(E60,Treatment!$A:$A,Treatment!$C:$C)</f>
        <v>ECG</v>
      </c>
      <c r="G60" s="4">
        <v>44994</v>
      </c>
      <c r="H60" s="4" t="str">
        <f t="shared" si="0"/>
        <v>March-2023</v>
      </c>
      <c r="I60" s="2">
        <v>929.91</v>
      </c>
      <c r="J60" s="2" t="s">
        <v>624</v>
      </c>
      <c r="K60" s="2" t="s">
        <v>614</v>
      </c>
    </row>
    <row r="61" spans="1:11" x14ac:dyDescent="0.3">
      <c r="A61" s="2" t="s">
        <v>677</v>
      </c>
      <c r="B61" s="2" t="s">
        <v>112</v>
      </c>
      <c r="C61" s="2" t="str">
        <f>_xlfn.XLOOKUP(B61,appointments!$B$2:$B$201,appointments!$C$2:$C$201)</f>
        <v>D002</v>
      </c>
      <c r="D61" s="2" t="str">
        <f>_xlfn.XLOOKUP(C61,Doctor!$A$2:$A$11,Doctor!$D$2:$D$11)</f>
        <v>Jane Davis</v>
      </c>
      <c r="E61" s="2" t="s">
        <v>334</v>
      </c>
      <c r="F61" s="2" t="str">
        <f>_xlfn.XLOOKUP(E61,Treatment!$A:$A,Treatment!$C:$C)</f>
        <v>Physiotherapy</v>
      </c>
      <c r="G61" s="4">
        <v>45252</v>
      </c>
      <c r="H61" s="4" t="str">
        <f t="shared" si="0"/>
        <v>November-2023</v>
      </c>
      <c r="I61" s="2">
        <v>3307.37</v>
      </c>
      <c r="J61" s="2" t="s">
        <v>613</v>
      </c>
      <c r="K61" s="2" t="s">
        <v>614</v>
      </c>
    </row>
    <row r="62" spans="1:11" x14ac:dyDescent="0.3">
      <c r="A62" s="2" t="s">
        <v>678</v>
      </c>
      <c r="B62" s="2" t="s">
        <v>102</v>
      </c>
      <c r="C62" s="2" t="str">
        <f>_xlfn.XLOOKUP(B62,appointments!$B$2:$B$201,appointments!$C$2:$C$201)</f>
        <v>D005</v>
      </c>
      <c r="D62" s="2" t="str">
        <f>_xlfn.XLOOKUP(C62,Doctor!$A$2:$A$11,Doctor!$D$2:$D$11)</f>
        <v>Sarah Taylor</v>
      </c>
      <c r="E62" s="2" t="s">
        <v>335</v>
      </c>
      <c r="F62" s="2" t="str">
        <f>_xlfn.XLOOKUP(E62,Treatment!$A:$A,Treatment!$C:$C)</f>
        <v>X-Ray</v>
      </c>
      <c r="G62" s="4">
        <v>44941</v>
      </c>
      <c r="H62" s="4" t="str">
        <f t="shared" si="0"/>
        <v>January-2023</v>
      </c>
      <c r="I62" s="2">
        <v>2532.9499999999998</v>
      </c>
      <c r="J62" s="2" t="s">
        <v>621</v>
      </c>
      <c r="K62" s="2" t="s">
        <v>616</v>
      </c>
    </row>
    <row r="63" spans="1:11" x14ac:dyDescent="0.3">
      <c r="A63" s="2" t="s">
        <v>679</v>
      </c>
      <c r="B63" s="2" t="s">
        <v>43</v>
      </c>
      <c r="C63" s="2" t="str">
        <f>_xlfn.XLOOKUP(B63,appointments!$B$2:$B$201,appointments!$C$2:$C$201)</f>
        <v>D010</v>
      </c>
      <c r="D63" s="2" t="str">
        <f>_xlfn.XLOOKUP(C63,Doctor!$A$2:$A$11,Doctor!$D$2:$D$11)</f>
        <v>Linda Wilson</v>
      </c>
      <c r="E63" s="2" t="s">
        <v>336</v>
      </c>
      <c r="F63" s="2" t="str">
        <f>_xlfn.XLOOKUP(E63,Treatment!$A:$A,Treatment!$C:$C)</f>
        <v>X-Ray</v>
      </c>
      <c r="G63" s="4">
        <v>45091</v>
      </c>
      <c r="H63" s="4" t="str">
        <f t="shared" si="0"/>
        <v>June-2023</v>
      </c>
      <c r="I63" s="2">
        <v>3139.74</v>
      </c>
      <c r="J63" s="2" t="s">
        <v>624</v>
      </c>
      <c r="K63" s="2" t="s">
        <v>616</v>
      </c>
    </row>
    <row r="64" spans="1:11" x14ac:dyDescent="0.3">
      <c r="A64" s="2" t="s">
        <v>680</v>
      </c>
      <c r="B64" s="2" t="s">
        <v>116</v>
      </c>
      <c r="C64" s="2" t="str">
        <f>_xlfn.XLOOKUP(B64,appointments!$B$2:$B$201,appointments!$C$2:$C$201)</f>
        <v>D004</v>
      </c>
      <c r="D64" s="2" t="str">
        <f>_xlfn.XLOOKUP(C64,Doctor!$A$2:$A$11,Doctor!$D$2:$D$11)</f>
        <v>David Jones</v>
      </c>
      <c r="E64" s="2" t="s">
        <v>337</v>
      </c>
      <c r="F64" s="2" t="str">
        <f>_xlfn.XLOOKUP(E64,Treatment!$A:$A,Treatment!$C:$C)</f>
        <v>MRI</v>
      </c>
      <c r="G64" s="4">
        <v>45106</v>
      </c>
      <c r="H64" s="4" t="str">
        <f t="shared" si="0"/>
        <v>June-2023</v>
      </c>
      <c r="I64" s="2">
        <v>1256.06</v>
      </c>
      <c r="J64" s="2" t="s">
        <v>613</v>
      </c>
      <c r="K64" s="2" t="s">
        <v>619</v>
      </c>
    </row>
    <row r="65" spans="1:11" x14ac:dyDescent="0.3">
      <c r="A65" s="2" t="s">
        <v>681</v>
      </c>
      <c r="B65" s="2" t="s">
        <v>118</v>
      </c>
      <c r="C65" s="2" t="str">
        <f>_xlfn.XLOOKUP(B65,appointments!$B$2:$B$201,appointments!$C$2:$C$201)</f>
        <v>D006</v>
      </c>
      <c r="D65" s="2" t="str">
        <f>_xlfn.XLOOKUP(C65,Doctor!$A$2:$A$11,Doctor!$D$2:$D$11)</f>
        <v>Alex Davis</v>
      </c>
      <c r="E65" s="2" t="s">
        <v>338</v>
      </c>
      <c r="F65" s="2" t="str">
        <f>_xlfn.XLOOKUP(E65,Treatment!$A:$A,Treatment!$C:$C)</f>
        <v>Physiotherapy</v>
      </c>
      <c r="G65" s="4">
        <v>45077</v>
      </c>
      <c r="H65" s="4" t="str">
        <f t="shared" si="0"/>
        <v>May-2023</v>
      </c>
      <c r="I65" s="2">
        <v>3815.93</v>
      </c>
      <c r="J65" s="2" t="s">
        <v>624</v>
      </c>
      <c r="K65" s="2" t="s">
        <v>616</v>
      </c>
    </row>
    <row r="66" spans="1:11" x14ac:dyDescent="0.3">
      <c r="A66" s="2" t="s">
        <v>682</v>
      </c>
      <c r="B66" s="2" t="s">
        <v>79</v>
      </c>
      <c r="C66" s="2" t="str">
        <f>_xlfn.XLOOKUP(B66,appointments!$B$2:$B$201,appointments!$C$2:$C$201)</f>
        <v>D003</v>
      </c>
      <c r="D66" s="2" t="str">
        <f>_xlfn.XLOOKUP(C66,Doctor!$A$2:$A$11,Doctor!$D$2:$D$11)</f>
        <v>Jane Smith</v>
      </c>
      <c r="E66" s="2" t="s">
        <v>339</v>
      </c>
      <c r="F66" s="2" t="str">
        <f>_xlfn.XLOOKUP(E66,Treatment!$A:$A,Treatment!$C:$C)</f>
        <v>ECG</v>
      </c>
      <c r="G66" s="4">
        <v>45040</v>
      </c>
      <c r="H66" s="4" t="str">
        <f t="shared" si="0"/>
        <v>April-2023</v>
      </c>
      <c r="I66" s="2">
        <v>4382.59</v>
      </c>
      <c r="J66" s="2" t="s">
        <v>613</v>
      </c>
      <c r="K66" s="2" t="s">
        <v>619</v>
      </c>
    </row>
    <row r="67" spans="1:11" x14ac:dyDescent="0.3">
      <c r="A67" s="2" t="s">
        <v>683</v>
      </c>
      <c r="B67" s="2" t="s">
        <v>79</v>
      </c>
      <c r="C67" s="2" t="str">
        <f>_xlfn.XLOOKUP(B67,appointments!$B$2:$B$201,appointments!$C$2:$C$201)</f>
        <v>D003</v>
      </c>
      <c r="D67" s="2" t="str">
        <f>_xlfn.XLOOKUP(C67,Doctor!$A$2:$A$11,Doctor!$D$2:$D$11)</f>
        <v>Jane Smith</v>
      </c>
      <c r="E67" s="2" t="s">
        <v>340</v>
      </c>
      <c r="F67" s="2" t="str">
        <f>_xlfn.XLOOKUP(E67,Treatment!$A:$A,Treatment!$C:$C)</f>
        <v>ECG</v>
      </c>
      <c r="G67" s="4">
        <v>45056</v>
      </c>
      <c r="H67" s="4" t="str">
        <f t="shared" ref="H67:H130" si="2">TEXT(G67,"mmmm-yyyy")</f>
        <v>May-2023</v>
      </c>
      <c r="I67" s="2">
        <v>1475.33</v>
      </c>
      <c r="J67" s="2" t="s">
        <v>621</v>
      </c>
      <c r="K67" s="2" t="s">
        <v>614</v>
      </c>
    </row>
    <row r="68" spans="1:11" x14ac:dyDescent="0.3">
      <c r="A68" s="2" t="s">
        <v>684</v>
      </c>
      <c r="B68" s="2" t="s">
        <v>122</v>
      </c>
      <c r="C68" s="2" t="str">
        <f>_xlfn.XLOOKUP(B68,appointments!$B$2:$B$201,appointments!$C$2:$C$201)</f>
        <v>D001</v>
      </c>
      <c r="D68" s="2" t="str">
        <f>_xlfn.XLOOKUP(C68,Doctor!$A$2:$A$11,Doctor!$D$2:$D$11)</f>
        <v>David Taylor</v>
      </c>
      <c r="E68" s="2" t="s">
        <v>341</v>
      </c>
      <c r="F68" s="2" t="str">
        <f>_xlfn.XLOOKUP(E68,Treatment!$A:$A,Treatment!$C:$C)</f>
        <v>Chemotherapy</v>
      </c>
      <c r="G68" s="4">
        <v>45148</v>
      </c>
      <c r="H68" s="4" t="str">
        <f t="shared" si="2"/>
        <v>August-2023</v>
      </c>
      <c r="I68" s="2">
        <v>930.72</v>
      </c>
      <c r="J68" s="2" t="s">
        <v>621</v>
      </c>
      <c r="K68" s="2" t="s">
        <v>614</v>
      </c>
    </row>
    <row r="69" spans="1:11" x14ac:dyDescent="0.3">
      <c r="A69" s="2" t="s">
        <v>685</v>
      </c>
      <c r="B69" s="2" t="s">
        <v>49</v>
      </c>
      <c r="C69" s="2" t="str">
        <f>_xlfn.XLOOKUP(B69,appointments!$B$2:$B$201,appointments!$C$2:$C$201)</f>
        <v>D009</v>
      </c>
      <c r="D69" s="2" t="str">
        <f>_xlfn.XLOOKUP(C69,Doctor!$A$2:$A$11,Doctor!$D$2:$D$11)</f>
        <v>Sarah Smith</v>
      </c>
      <c r="E69" s="2" t="s">
        <v>342</v>
      </c>
      <c r="F69" s="2" t="str">
        <f>_xlfn.XLOOKUP(E69,Treatment!$A:$A,Treatment!$C:$C)</f>
        <v>ECG</v>
      </c>
      <c r="G69" s="4">
        <v>44999</v>
      </c>
      <c r="H69" s="4" t="str">
        <f t="shared" si="2"/>
        <v>March-2023</v>
      </c>
      <c r="I69" s="2">
        <v>606.37</v>
      </c>
      <c r="J69" s="2" t="s">
        <v>621</v>
      </c>
      <c r="K69" s="2" t="s">
        <v>619</v>
      </c>
    </row>
    <row r="70" spans="1:11" x14ac:dyDescent="0.3">
      <c r="A70" s="2" t="s">
        <v>686</v>
      </c>
      <c r="B70" s="2" t="s">
        <v>43</v>
      </c>
      <c r="C70" s="2" t="str">
        <f>_xlfn.XLOOKUP(B70,appointments!$B$2:$B$201,appointments!$C$2:$C$201)</f>
        <v>D010</v>
      </c>
      <c r="D70" s="2" t="str">
        <f>_xlfn.XLOOKUP(C70,Doctor!$A$2:$A$11,Doctor!$D$2:$D$11)</f>
        <v>Linda Wilson</v>
      </c>
      <c r="E70" s="2" t="s">
        <v>343</v>
      </c>
      <c r="F70" s="2" t="str">
        <f>_xlfn.XLOOKUP(E70,Treatment!$A:$A,Treatment!$C:$C)</f>
        <v>MRI</v>
      </c>
      <c r="G70" s="4">
        <v>45014</v>
      </c>
      <c r="H70" s="4" t="str">
        <f t="shared" si="2"/>
        <v>March-2023</v>
      </c>
      <c r="I70" s="2">
        <v>3388.87</v>
      </c>
      <c r="J70" s="2" t="s">
        <v>621</v>
      </c>
      <c r="K70" s="2" t="s">
        <v>616</v>
      </c>
    </row>
    <row r="71" spans="1:11" x14ac:dyDescent="0.3">
      <c r="A71" s="2" t="s">
        <v>687</v>
      </c>
      <c r="B71" s="2" t="s">
        <v>40</v>
      </c>
      <c r="C71" s="2" t="str">
        <f>_xlfn.XLOOKUP(B71,appointments!$B$2:$B$201,appointments!$C$2:$C$201)</f>
        <v>D002</v>
      </c>
      <c r="D71" s="2" t="str">
        <f>_xlfn.XLOOKUP(C71,Doctor!$A$2:$A$11,Doctor!$D$2:$D$11)</f>
        <v>Jane Davis</v>
      </c>
      <c r="E71" s="2" t="s">
        <v>344</v>
      </c>
      <c r="F71" s="2" t="str">
        <f>_xlfn.XLOOKUP(E71,Treatment!$A:$A,Treatment!$C:$C)</f>
        <v>MRI</v>
      </c>
      <c r="G71" s="4">
        <v>45164</v>
      </c>
      <c r="H71" s="4" t="str">
        <f t="shared" si="2"/>
        <v>August-2023</v>
      </c>
      <c r="I71" s="2">
        <v>3231.92</v>
      </c>
      <c r="J71" s="2" t="s">
        <v>624</v>
      </c>
      <c r="K71" s="2" t="s">
        <v>614</v>
      </c>
    </row>
    <row r="72" spans="1:11" x14ac:dyDescent="0.3">
      <c r="A72" s="2" t="s">
        <v>688</v>
      </c>
      <c r="B72" s="2" t="s">
        <v>24</v>
      </c>
      <c r="C72" s="2" t="str">
        <f>_xlfn.XLOOKUP(B72,appointments!$B$2:$B$201,appointments!$C$2:$C$201)</f>
        <v>D007</v>
      </c>
      <c r="D72" s="2" t="str">
        <f>_xlfn.XLOOKUP(C72,Doctor!$A$2:$A$11,Doctor!$D$2:$D$11)</f>
        <v>Robert Davis</v>
      </c>
      <c r="E72" s="2" t="s">
        <v>345</v>
      </c>
      <c r="F72" s="2" t="str">
        <f>_xlfn.XLOOKUP(E72,Treatment!$A:$A,Treatment!$C:$C)</f>
        <v>ECG</v>
      </c>
      <c r="G72" s="4">
        <v>44952</v>
      </c>
      <c r="H72" s="4" t="str">
        <f t="shared" si="2"/>
        <v>January-2023</v>
      </c>
      <c r="I72" s="2">
        <v>2960.14</v>
      </c>
      <c r="J72" s="2" t="s">
        <v>624</v>
      </c>
      <c r="K72" s="2" t="s">
        <v>616</v>
      </c>
    </row>
    <row r="73" spans="1:11" x14ac:dyDescent="0.3">
      <c r="A73" s="2" t="s">
        <v>689</v>
      </c>
      <c r="B73" s="2" t="s">
        <v>79</v>
      </c>
      <c r="C73" s="2" t="str">
        <f>_xlfn.XLOOKUP(B73,appointments!$B$2:$B$201,appointments!$C$2:$C$201)</f>
        <v>D003</v>
      </c>
      <c r="D73" s="2" t="str">
        <f>_xlfn.XLOOKUP(C73,Doctor!$A$2:$A$11,Doctor!$D$2:$D$11)</f>
        <v>Jane Smith</v>
      </c>
      <c r="E73" s="2" t="s">
        <v>346</v>
      </c>
      <c r="F73" s="2" t="str">
        <f>_xlfn.XLOOKUP(E73,Treatment!$A:$A,Treatment!$C:$C)</f>
        <v>ECG</v>
      </c>
      <c r="G73" s="4">
        <v>45089</v>
      </c>
      <c r="H73" s="4" t="str">
        <f t="shared" si="2"/>
        <v>June-2023</v>
      </c>
      <c r="I73" s="2">
        <v>1543.76</v>
      </c>
      <c r="J73" s="2" t="s">
        <v>621</v>
      </c>
      <c r="K73" s="2" t="s">
        <v>614</v>
      </c>
    </row>
    <row r="74" spans="1:11" x14ac:dyDescent="0.3">
      <c r="A74" s="2" t="s">
        <v>690</v>
      </c>
      <c r="B74" s="2" t="s">
        <v>17</v>
      </c>
      <c r="C74" s="2" t="str">
        <f>_xlfn.XLOOKUP(B74,appointments!$B$2:$B$201,appointments!$C$2:$C$201)</f>
        <v>D003</v>
      </c>
      <c r="D74" s="2" t="str">
        <f>_xlfn.XLOOKUP(C74,Doctor!$A$2:$A$11,Doctor!$D$2:$D$11)</f>
        <v>Jane Smith</v>
      </c>
      <c r="E74" s="2" t="s">
        <v>347</v>
      </c>
      <c r="F74" s="2" t="str">
        <f>_xlfn.XLOOKUP(E74,Treatment!$A:$A,Treatment!$C:$C)</f>
        <v>Chemotherapy</v>
      </c>
      <c r="G74" s="4">
        <v>45284</v>
      </c>
      <c r="H74" s="4" t="str">
        <f t="shared" si="2"/>
        <v>December-2023</v>
      </c>
      <c r="I74" s="2">
        <v>2259.08</v>
      </c>
      <c r="J74" s="2" t="s">
        <v>621</v>
      </c>
      <c r="K74" s="2" t="s">
        <v>619</v>
      </c>
    </row>
    <row r="75" spans="1:11" x14ac:dyDescent="0.3">
      <c r="A75" s="2" t="s">
        <v>691</v>
      </c>
      <c r="B75" s="2" t="s">
        <v>85</v>
      </c>
      <c r="C75" s="2" t="str">
        <f>_xlfn.XLOOKUP(B75,appointments!$B$2:$B$201,appointments!$C$2:$C$201)</f>
        <v>D009</v>
      </c>
      <c r="D75" s="2" t="str">
        <f>_xlfn.XLOOKUP(C75,Doctor!$A$2:$A$11,Doctor!$D$2:$D$11)</f>
        <v>Sarah Smith</v>
      </c>
      <c r="E75" s="2" t="s">
        <v>348</v>
      </c>
      <c r="F75" s="2" t="str">
        <f>_xlfn.XLOOKUP(E75,Treatment!$A:$A,Treatment!$C:$C)</f>
        <v>ECG</v>
      </c>
      <c r="G75" s="4">
        <v>45130</v>
      </c>
      <c r="H75" s="4" t="str">
        <f t="shared" si="2"/>
        <v>July-2023</v>
      </c>
      <c r="I75" s="2">
        <v>3175.14</v>
      </c>
      <c r="J75" s="2" t="s">
        <v>621</v>
      </c>
      <c r="K75" s="2" t="s">
        <v>619</v>
      </c>
    </row>
    <row r="76" spans="1:11" x14ac:dyDescent="0.3">
      <c r="A76" s="2" t="s">
        <v>692</v>
      </c>
      <c r="B76" s="2" t="s">
        <v>122</v>
      </c>
      <c r="C76" s="2" t="str">
        <f>_xlfn.XLOOKUP(B76,appointments!$B$2:$B$201,appointments!$C$2:$C$201)</f>
        <v>D001</v>
      </c>
      <c r="D76" s="2" t="str">
        <f>_xlfn.XLOOKUP(C76,Doctor!$A$2:$A$11,Doctor!$D$2:$D$11)</f>
        <v>David Taylor</v>
      </c>
      <c r="E76" s="2" t="s">
        <v>349</v>
      </c>
      <c r="F76" s="2" t="str">
        <f>_xlfn.XLOOKUP(E76,Treatment!$A:$A,Treatment!$C:$C)</f>
        <v>Chemotherapy</v>
      </c>
      <c r="G76" s="4">
        <v>45054</v>
      </c>
      <c r="H76" s="4" t="str">
        <f t="shared" si="2"/>
        <v>May-2023</v>
      </c>
      <c r="I76" s="2">
        <v>2735.45</v>
      </c>
      <c r="J76" s="2" t="s">
        <v>624</v>
      </c>
      <c r="K76" s="2" t="s">
        <v>619</v>
      </c>
    </row>
    <row r="77" spans="1:11" x14ac:dyDescent="0.3">
      <c r="A77" s="2" t="s">
        <v>693</v>
      </c>
      <c r="B77" s="2" t="s">
        <v>132</v>
      </c>
      <c r="C77" s="2" t="str">
        <f>_xlfn.XLOOKUP(B77,appointments!$B$2:$B$201,appointments!$C$2:$C$201)</f>
        <v>D002</v>
      </c>
      <c r="D77" s="2" t="str">
        <f>_xlfn.XLOOKUP(C77,Doctor!$A$2:$A$11,Doctor!$D$2:$D$11)</f>
        <v>Jane Davis</v>
      </c>
      <c r="E77" s="2" t="s">
        <v>350</v>
      </c>
      <c r="F77" s="2" t="str">
        <f>_xlfn.XLOOKUP(E77,Treatment!$A:$A,Treatment!$C:$C)</f>
        <v>Chemotherapy</v>
      </c>
      <c r="G77" s="4">
        <v>45257</v>
      </c>
      <c r="H77" s="4" t="str">
        <f t="shared" si="2"/>
        <v>November-2023</v>
      </c>
      <c r="I77" s="2">
        <v>4945.03</v>
      </c>
      <c r="J77" s="2" t="s">
        <v>621</v>
      </c>
      <c r="K77" s="2" t="s">
        <v>614</v>
      </c>
    </row>
    <row r="78" spans="1:11" x14ac:dyDescent="0.3">
      <c r="A78" s="2" t="s">
        <v>694</v>
      </c>
      <c r="B78" s="2" t="s">
        <v>38</v>
      </c>
      <c r="C78" s="2" t="str">
        <f>_xlfn.XLOOKUP(B78,appointments!$B$2:$B$201,appointments!$C$2:$C$201)</f>
        <v>D003</v>
      </c>
      <c r="D78" s="2" t="str">
        <f>_xlfn.XLOOKUP(C78,Doctor!$A$2:$A$11,Doctor!$D$2:$D$11)</f>
        <v>Jane Smith</v>
      </c>
      <c r="E78" s="2" t="s">
        <v>351</v>
      </c>
      <c r="F78" s="2" t="str">
        <f>_xlfn.XLOOKUP(E78,Treatment!$A:$A,Treatment!$C:$C)</f>
        <v>ECG</v>
      </c>
      <c r="G78" s="4">
        <v>45274</v>
      </c>
      <c r="H78" s="4" t="str">
        <f t="shared" si="2"/>
        <v>December-2023</v>
      </c>
      <c r="I78" s="2">
        <v>1113.98</v>
      </c>
      <c r="J78" s="2" t="s">
        <v>621</v>
      </c>
      <c r="K78" s="2" t="s">
        <v>616</v>
      </c>
    </row>
    <row r="79" spans="1:11" x14ac:dyDescent="0.3">
      <c r="A79" s="2" t="s">
        <v>695</v>
      </c>
      <c r="B79" s="2" t="s">
        <v>135</v>
      </c>
      <c r="C79" s="2" t="str">
        <f>_xlfn.XLOOKUP(B79,appointments!$B$2:$B$201,appointments!$C$2:$C$201)</f>
        <v>D008</v>
      </c>
      <c r="D79" s="2" t="str">
        <f>_xlfn.XLOOKUP(C79,Doctor!$A$2:$A$11,Doctor!$D$2:$D$11)</f>
        <v>Linda Brown</v>
      </c>
      <c r="E79" s="2" t="s">
        <v>352</v>
      </c>
      <c r="F79" s="2" t="str">
        <f>_xlfn.XLOOKUP(E79,Treatment!$A:$A,Treatment!$C:$C)</f>
        <v>X-Ray</v>
      </c>
      <c r="G79" s="4">
        <v>45186</v>
      </c>
      <c r="H79" s="4" t="str">
        <f t="shared" si="2"/>
        <v>September-2023</v>
      </c>
      <c r="I79" s="2">
        <v>3628.15</v>
      </c>
      <c r="J79" s="2" t="s">
        <v>621</v>
      </c>
      <c r="K79" s="2" t="s">
        <v>616</v>
      </c>
    </row>
    <row r="80" spans="1:11" x14ac:dyDescent="0.3">
      <c r="A80" s="2" t="s">
        <v>696</v>
      </c>
      <c r="B80" s="2" t="s">
        <v>43</v>
      </c>
      <c r="C80" s="2" t="str">
        <f>_xlfn.XLOOKUP(B80,appointments!$B$2:$B$201,appointments!$C$2:$C$201)</f>
        <v>D010</v>
      </c>
      <c r="D80" s="2" t="str">
        <f>_xlfn.XLOOKUP(C80,Doctor!$A$2:$A$11,Doctor!$D$2:$D$11)</f>
        <v>Linda Wilson</v>
      </c>
      <c r="E80" s="2" t="s">
        <v>353</v>
      </c>
      <c r="F80" s="2" t="str">
        <f>_xlfn.XLOOKUP(E80,Treatment!$A:$A,Treatment!$C:$C)</f>
        <v>X-Ray</v>
      </c>
      <c r="G80" s="4">
        <v>45286</v>
      </c>
      <c r="H80" s="4" t="str">
        <f t="shared" si="2"/>
        <v>December-2023</v>
      </c>
      <c r="I80" s="2">
        <v>2319.4299999999998</v>
      </c>
      <c r="J80" s="2" t="s">
        <v>613</v>
      </c>
      <c r="K80" s="2" t="s">
        <v>616</v>
      </c>
    </row>
    <row r="81" spans="1:11" x14ac:dyDescent="0.3">
      <c r="A81" s="2" t="s">
        <v>697</v>
      </c>
      <c r="B81" s="2" t="s">
        <v>90</v>
      </c>
      <c r="C81" s="2" t="str">
        <f>_xlfn.XLOOKUP(B81,appointments!$B$2:$B$201,appointments!$C$2:$C$201)</f>
        <v>D006</v>
      </c>
      <c r="D81" s="2" t="str">
        <f>_xlfn.XLOOKUP(C81,Doctor!$A$2:$A$11,Doctor!$D$2:$D$11)</f>
        <v>Alex Davis</v>
      </c>
      <c r="E81" s="2" t="s">
        <v>354</v>
      </c>
      <c r="F81" s="2" t="str">
        <f>_xlfn.XLOOKUP(E81,Treatment!$A:$A,Treatment!$C:$C)</f>
        <v>Chemotherapy</v>
      </c>
      <c r="G81" s="4">
        <v>45103</v>
      </c>
      <c r="H81" s="4" t="str">
        <f t="shared" si="2"/>
        <v>June-2023</v>
      </c>
      <c r="I81" s="2">
        <v>2426.9</v>
      </c>
      <c r="J81" s="2" t="s">
        <v>621</v>
      </c>
      <c r="K81" s="2" t="s">
        <v>614</v>
      </c>
    </row>
    <row r="82" spans="1:11" x14ac:dyDescent="0.3">
      <c r="A82" s="2" t="s">
        <v>698</v>
      </c>
      <c r="B82" s="2" t="s">
        <v>65</v>
      </c>
      <c r="C82" s="2" t="str">
        <f>_xlfn.XLOOKUP(B82,appointments!$B$2:$B$201,appointments!$C$2:$C$201)</f>
        <v>D006</v>
      </c>
      <c r="D82" s="2" t="str">
        <f>_xlfn.XLOOKUP(C82,Doctor!$A$2:$A$11,Doctor!$D$2:$D$11)</f>
        <v>Alex Davis</v>
      </c>
      <c r="E82" s="2" t="s">
        <v>355</v>
      </c>
      <c r="F82" s="2" t="str">
        <f>_xlfn.XLOOKUP(E82,Treatment!$A:$A,Treatment!$C:$C)</f>
        <v>ECG</v>
      </c>
      <c r="G82" s="4">
        <v>44932</v>
      </c>
      <c r="H82" s="4" t="str">
        <f t="shared" si="2"/>
        <v>January-2023</v>
      </c>
      <c r="I82" s="2">
        <v>3729.19</v>
      </c>
      <c r="J82" s="2" t="s">
        <v>613</v>
      </c>
      <c r="K82" s="2" t="s">
        <v>614</v>
      </c>
    </row>
    <row r="83" spans="1:11" x14ac:dyDescent="0.3">
      <c r="A83" s="2" t="s">
        <v>699</v>
      </c>
      <c r="B83" s="2" t="s">
        <v>105</v>
      </c>
      <c r="C83" s="2" t="str">
        <f>_xlfn.XLOOKUP(B83,appointments!$B$2:$B$201,appointments!$C$2:$C$201)</f>
        <v>D010</v>
      </c>
      <c r="D83" s="2" t="str">
        <f>_xlfn.XLOOKUP(C83,Doctor!$A$2:$A$11,Doctor!$D$2:$D$11)</f>
        <v>Linda Wilson</v>
      </c>
      <c r="E83" s="2" t="s">
        <v>356</v>
      </c>
      <c r="F83" s="2" t="str">
        <f>_xlfn.XLOOKUP(E83,Treatment!$A:$A,Treatment!$C:$C)</f>
        <v>X-Ray</v>
      </c>
      <c r="G83" s="4">
        <v>44946</v>
      </c>
      <c r="H83" s="4" t="str">
        <f t="shared" si="2"/>
        <v>January-2023</v>
      </c>
      <c r="I83" s="2">
        <v>3615.96</v>
      </c>
      <c r="J83" s="2" t="s">
        <v>613</v>
      </c>
      <c r="K83" s="2" t="s">
        <v>614</v>
      </c>
    </row>
    <row r="84" spans="1:11" x14ac:dyDescent="0.3">
      <c r="A84" s="2" t="s">
        <v>700</v>
      </c>
      <c r="B84" s="2" t="s">
        <v>116</v>
      </c>
      <c r="C84" s="2" t="str">
        <f>_xlfn.XLOOKUP(B84,appointments!$B$2:$B$201,appointments!$C$2:$C$201)</f>
        <v>D004</v>
      </c>
      <c r="D84" s="2" t="str">
        <f>_xlfn.XLOOKUP(C84,Doctor!$A$2:$A$11,Doctor!$D$2:$D$11)</f>
        <v>David Jones</v>
      </c>
      <c r="E84" s="2" t="s">
        <v>357</v>
      </c>
      <c r="F84" s="2" t="str">
        <f>_xlfn.XLOOKUP(E84,Treatment!$A:$A,Treatment!$C:$C)</f>
        <v>ECG</v>
      </c>
      <c r="G84" s="4">
        <v>45237</v>
      </c>
      <c r="H84" s="4" t="str">
        <f t="shared" si="2"/>
        <v>November-2023</v>
      </c>
      <c r="I84" s="2">
        <v>4960.6499999999996</v>
      </c>
      <c r="J84" s="2" t="s">
        <v>621</v>
      </c>
      <c r="K84" s="2" t="s">
        <v>614</v>
      </c>
    </row>
    <row r="85" spans="1:11" x14ac:dyDescent="0.3">
      <c r="A85" s="2" t="s">
        <v>701</v>
      </c>
      <c r="B85" s="2" t="s">
        <v>118</v>
      </c>
      <c r="C85" s="2" t="str">
        <f>_xlfn.XLOOKUP(B85,appointments!$B$2:$B$201,appointments!$C$2:$C$201)</f>
        <v>D006</v>
      </c>
      <c r="D85" s="2" t="str">
        <f>_xlfn.XLOOKUP(C85,Doctor!$A$2:$A$11,Doctor!$D$2:$D$11)</f>
        <v>Alex Davis</v>
      </c>
      <c r="E85" s="2" t="s">
        <v>358</v>
      </c>
      <c r="F85" s="2" t="str">
        <f>_xlfn.XLOOKUP(E85,Treatment!$A:$A,Treatment!$C:$C)</f>
        <v>ECG</v>
      </c>
      <c r="G85" s="4">
        <v>45077</v>
      </c>
      <c r="H85" s="4" t="str">
        <f t="shared" si="2"/>
        <v>May-2023</v>
      </c>
      <c r="I85" s="2">
        <v>1077.77</v>
      </c>
      <c r="J85" s="2" t="s">
        <v>613</v>
      </c>
      <c r="K85" s="2" t="s">
        <v>614</v>
      </c>
    </row>
    <row r="86" spans="1:11" x14ac:dyDescent="0.3">
      <c r="A86" s="2" t="s">
        <v>702</v>
      </c>
      <c r="B86" s="2" t="s">
        <v>83</v>
      </c>
      <c r="C86" s="2" t="str">
        <f>_xlfn.XLOOKUP(B86,appointments!$B$2:$B$201,appointments!$C$2:$C$201)</f>
        <v>D002</v>
      </c>
      <c r="D86" s="2" t="str">
        <f>_xlfn.XLOOKUP(C86,Doctor!$A$2:$A$11,Doctor!$D$2:$D$11)</f>
        <v>Jane Davis</v>
      </c>
      <c r="E86" s="2" t="s">
        <v>359</v>
      </c>
      <c r="F86" s="2" t="str">
        <f>_xlfn.XLOOKUP(E86,Treatment!$A:$A,Treatment!$C:$C)</f>
        <v>ECG</v>
      </c>
      <c r="G86" s="4">
        <v>44975</v>
      </c>
      <c r="H86" s="4" t="str">
        <f t="shared" si="2"/>
        <v>February-2023</v>
      </c>
      <c r="I86" s="2">
        <v>968.49</v>
      </c>
      <c r="J86" s="2" t="s">
        <v>621</v>
      </c>
      <c r="K86" s="2" t="s">
        <v>616</v>
      </c>
    </row>
    <row r="87" spans="1:11" x14ac:dyDescent="0.3">
      <c r="A87" s="2" t="s">
        <v>703</v>
      </c>
      <c r="B87" s="2" t="s">
        <v>144</v>
      </c>
      <c r="C87" s="2" t="str">
        <f>_xlfn.XLOOKUP(B87,appointments!$B$2:$B$201,appointments!$C$2:$C$201)</f>
        <v>D002</v>
      </c>
      <c r="D87" s="2" t="str">
        <f>_xlfn.XLOOKUP(C87,Doctor!$A$2:$A$11,Doctor!$D$2:$D$11)</f>
        <v>Jane Davis</v>
      </c>
      <c r="E87" s="2" t="s">
        <v>360</v>
      </c>
      <c r="F87" s="2" t="str">
        <f>_xlfn.XLOOKUP(E87,Treatment!$A:$A,Treatment!$C:$C)</f>
        <v>Physiotherapy</v>
      </c>
      <c r="G87" s="4">
        <v>45228</v>
      </c>
      <c r="H87" s="4" t="str">
        <f t="shared" si="2"/>
        <v>October-2023</v>
      </c>
      <c r="I87" s="2">
        <v>3759.52</v>
      </c>
      <c r="J87" s="2" t="s">
        <v>624</v>
      </c>
      <c r="K87" s="2" t="s">
        <v>614</v>
      </c>
    </row>
    <row r="88" spans="1:11" x14ac:dyDescent="0.3">
      <c r="A88" s="2" t="s">
        <v>704</v>
      </c>
      <c r="B88" s="2" t="s">
        <v>45</v>
      </c>
      <c r="C88" s="2" t="str">
        <f>_xlfn.XLOOKUP(B88,appointments!$B$2:$B$201,appointments!$C$2:$C$201)</f>
        <v>D004</v>
      </c>
      <c r="D88" s="2" t="str">
        <f>_xlfn.XLOOKUP(C88,Doctor!$A$2:$A$11,Doctor!$D$2:$D$11)</f>
        <v>David Jones</v>
      </c>
      <c r="E88" s="2" t="s">
        <v>361</v>
      </c>
      <c r="F88" s="2" t="str">
        <f>_xlfn.XLOOKUP(E88,Treatment!$A:$A,Treatment!$C:$C)</f>
        <v>ECG</v>
      </c>
      <c r="G88" s="4">
        <v>45218</v>
      </c>
      <c r="H88" s="4" t="str">
        <f t="shared" si="2"/>
        <v>October-2023</v>
      </c>
      <c r="I88" s="2">
        <v>3102.74</v>
      </c>
      <c r="J88" s="2" t="s">
        <v>624</v>
      </c>
      <c r="K88" s="2" t="s">
        <v>614</v>
      </c>
    </row>
    <row r="89" spans="1:11" x14ac:dyDescent="0.3">
      <c r="A89" s="2" t="s">
        <v>705</v>
      </c>
      <c r="B89" s="2" t="s">
        <v>147</v>
      </c>
      <c r="C89" s="2" t="str">
        <f>_xlfn.XLOOKUP(B89,appointments!$B$2:$B$201,appointments!$C$2:$C$201)</f>
        <v>D005</v>
      </c>
      <c r="D89" s="2" t="str">
        <f>_xlfn.XLOOKUP(C89,Doctor!$A$2:$A$11,Doctor!$D$2:$D$11)</f>
        <v>Sarah Taylor</v>
      </c>
      <c r="E89" s="2" t="s">
        <v>362</v>
      </c>
      <c r="F89" s="2" t="str">
        <f>_xlfn.XLOOKUP(E89,Treatment!$A:$A,Treatment!$C:$C)</f>
        <v>Physiotherapy</v>
      </c>
      <c r="G89" s="4">
        <v>45048</v>
      </c>
      <c r="H89" s="4" t="str">
        <f t="shared" si="2"/>
        <v>May-2023</v>
      </c>
      <c r="I89" s="2">
        <v>1733.72</v>
      </c>
      <c r="J89" s="2" t="s">
        <v>624</v>
      </c>
      <c r="K89" s="2" t="s">
        <v>616</v>
      </c>
    </row>
    <row r="90" spans="1:11" x14ac:dyDescent="0.3">
      <c r="A90" s="2" t="s">
        <v>706</v>
      </c>
      <c r="B90" s="2" t="s">
        <v>38</v>
      </c>
      <c r="C90" s="2" t="str">
        <f>_xlfn.XLOOKUP(B90,appointments!$B$2:$B$201,appointments!$C$2:$C$201)</f>
        <v>D003</v>
      </c>
      <c r="D90" s="2" t="str">
        <f>_xlfn.XLOOKUP(C90,Doctor!$A$2:$A$11,Doctor!$D$2:$D$11)</f>
        <v>Jane Smith</v>
      </c>
      <c r="E90" s="2" t="s">
        <v>363</v>
      </c>
      <c r="F90" s="2" t="str">
        <f>_xlfn.XLOOKUP(E90,Treatment!$A:$A,Treatment!$C:$C)</f>
        <v>Chemotherapy</v>
      </c>
      <c r="G90" s="4">
        <v>44971</v>
      </c>
      <c r="H90" s="4" t="str">
        <f t="shared" si="2"/>
        <v>February-2023</v>
      </c>
      <c r="I90" s="2">
        <v>857.39</v>
      </c>
      <c r="J90" s="2" t="s">
        <v>624</v>
      </c>
      <c r="K90" s="2" t="s">
        <v>614</v>
      </c>
    </row>
    <row r="91" spans="1:11" x14ac:dyDescent="0.3">
      <c r="A91" s="2" t="s">
        <v>707</v>
      </c>
      <c r="B91" s="2" t="s">
        <v>45</v>
      </c>
      <c r="C91" s="2" t="str">
        <f>_xlfn.XLOOKUP(B91,appointments!$B$2:$B$201,appointments!$C$2:$C$201)</f>
        <v>D004</v>
      </c>
      <c r="D91" s="2" t="str">
        <f>_xlfn.XLOOKUP(C91,Doctor!$A$2:$A$11,Doctor!$D$2:$D$11)</f>
        <v>David Jones</v>
      </c>
      <c r="E91" s="2" t="s">
        <v>364</v>
      </c>
      <c r="F91" s="2" t="str">
        <f>_xlfn.XLOOKUP(E91,Treatment!$A:$A,Treatment!$C:$C)</f>
        <v>X-Ray</v>
      </c>
      <c r="G91" s="4">
        <v>45078</v>
      </c>
      <c r="H91" s="4" t="str">
        <f t="shared" si="2"/>
        <v>June-2023</v>
      </c>
      <c r="I91" s="2">
        <v>885.46</v>
      </c>
      <c r="J91" s="2" t="s">
        <v>613</v>
      </c>
      <c r="K91" s="2" t="s">
        <v>616</v>
      </c>
    </row>
    <row r="92" spans="1:11" x14ac:dyDescent="0.3">
      <c r="A92" s="2" t="s">
        <v>708</v>
      </c>
      <c r="B92" s="2" t="s">
        <v>85</v>
      </c>
      <c r="C92" s="2" t="str">
        <f>_xlfn.XLOOKUP(B92,appointments!$B$2:$B$201,appointments!$C$2:$C$201)</f>
        <v>D009</v>
      </c>
      <c r="D92" s="2" t="str">
        <f>_xlfn.XLOOKUP(C92,Doctor!$A$2:$A$11,Doctor!$D$2:$D$11)</f>
        <v>Sarah Smith</v>
      </c>
      <c r="E92" s="2" t="s">
        <v>365</v>
      </c>
      <c r="F92" s="2" t="str">
        <f>_xlfn.XLOOKUP(E92,Treatment!$A:$A,Treatment!$C:$C)</f>
        <v>X-Ray</v>
      </c>
      <c r="G92" s="4">
        <v>45088</v>
      </c>
      <c r="H92" s="4" t="str">
        <f t="shared" si="2"/>
        <v>June-2023</v>
      </c>
      <c r="I92" s="2">
        <v>4523.8599999999997</v>
      </c>
      <c r="J92" s="2" t="s">
        <v>621</v>
      </c>
      <c r="K92" s="2" t="s">
        <v>616</v>
      </c>
    </row>
    <row r="93" spans="1:11" x14ac:dyDescent="0.3">
      <c r="A93" s="2" t="s">
        <v>709</v>
      </c>
      <c r="B93" s="2" t="s">
        <v>45</v>
      </c>
      <c r="C93" s="2" t="str">
        <f>_xlfn.XLOOKUP(B93,appointments!$B$2:$B$201,appointments!$C$2:$C$201)</f>
        <v>D004</v>
      </c>
      <c r="D93" s="2" t="str">
        <f>_xlfn.XLOOKUP(C93,Doctor!$A$2:$A$11,Doctor!$D$2:$D$11)</f>
        <v>David Jones</v>
      </c>
      <c r="E93" s="2" t="s">
        <v>366</v>
      </c>
      <c r="F93" s="2" t="str">
        <f>_xlfn.XLOOKUP(E93,Treatment!$A:$A,Treatment!$C:$C)</f>
        <v>X-Ray</v>
      </c>
      <c r="G93" s="4">
        <v>44956</v>
      </c>
      <c r="H93" s="4" t="str">
        <f t="shared" si="2"/>
        <v>January-2023</v>
      </c>
      <c r="I93" s="2">
        <v>1363.4</v>
      </c>
      <c r="J93" s="2" t="s">
        <v>621</v>
      </c>
      <c r="K93" s="2" t="s">
        <v>619</v>
      </c>
    </row>
    <row r="94" spans="1:11" x14ac:dyDescent="0.3">
      <c r="A94" s="2" t="s">
        <v>710</v>
      </c>
      <c r="B94" s="2" t="s">
        <v>1</v>
      </c>
      <c r="C94" s="2" t="str">
        <f>_xlfn.XLOOKUP(B94,appointments!$B$2:$B$201,appointments!$C$2:$C$201)</f>
        <v>D009</v>
      </c>
      <c r="D94" s="2" t="str">
        <f>_xlfn.XLOOKUP(C94,Doctor!$A$2:$A$11,Doctor!$D$2:$D$11)</f>
        <v>Sarah Smith</v>
      </c>
      <c r="E94" s="2" t="s">
        <v>367</v>
      </c>
      <c r="F94" s="2" t="str">
        <f>_xlfn.XLOOKUP(E94,Treatment!$A:$A,Treatment!$C:$C)</f>
        <v>X-Ray</v>
      </c>
      <c r="G94" s="4">
        <v>45025</v>
      </c>
      <c r="H94" s="4" t="str">
        <f t="shared" si="2"/>
        <v>April-2023</v>
      </c>
      <c r="I94" s="2">
        <v>1955.17</v>
      </c>
      <c r="J94" s="2" t="s">
        <v>621</v>
      </c>
      <c r="K94" s="2" t="s">
        <v>619</v>
      </c>
    </row>
    <row r="95" spans="1:11" x14ac:dyDescent="0.3">
      <c r="A95" s="2" t="s">
        <v>711</v>
      </c>
      <c r="B95" s="2" t="s">
        <v>154</v>
      </c>
      <c r="C95" s="2" t="str">
        <f>_xlfn.XLOOKUP(B95,appointments!$B$2:$B$201,appointments!$C$2:$C$201)</f>
        <v>D002</v>
      </c>
      <c r="D95" s="2" t="str">
        <f>_xlfn.XLOOKUP(C95,Doctor!$A$2:$A$11,Doctor!$D$2:$D$11)</f>
        <v>Jane Davis</v>
      </c>
      <c r="E95" s="2" t="s">
        <v>368</v>
      </c>
      <c r="F95" s="2" t="str">
        <f>_xlfn.XLOOKUP(E95,Treatment!$A:$A,Treatment!$C:$C)</f>
        <v>X-Ray</v>
      </c>
      <c r="G95" s="4">
        <v>45024</v>
      </c>
      <c r="H95" s="4" t="str">
        <f t="shared" si="2"/>
        <v>April-2023</v>
      </c>
      <c r="I95" s="2">
        <v>1519.95</v>
      </c>
      <c r="J95" s="2" t="s">
        <v>624</v>
      </c>
      <c r="K95" s="2" t="s">
        <v>619</v>
      </c>
    </row>
    <row r="96" spans="1:11" x14ac:dyDescent="0.3">
      <c r="A96" s="2" t="s">
        <v>712</v>
      </c>
      <c r="B96" s="2" t="s">
        <v>156</v>
      </c>
      <c r="C96" s="2" t="str">
        <f>_xlfn.XLOOKUP(B96,appointments!$B$2:$B$201,appointments!$C$2:$C$201)</f>
        <v>D009</v>
      </c>
      <c r="D96" s="2" t="str">
        <f>_xlfn.XLOOKUP(C96,Doctor!$A$2:$A$11,Doctor!$D$2:$D$11)</f>
        <v>Sarah Smith</v>
      </c>
      <c r="E96" s="2" t="s">
        <v>369</v>
      </c>
      <c r="F96" s="2" t="str">
        <f>_xlfn.XLOOKUP(E96,Treatment!$A:$A,Treatment!$C:$C)</f>
        <v>X-Ray</v>
      </c>
      <c r="G96" s="4">
        <v>45055</v>
      </c>
      <c r="H96" s="4" t="str">
        <f t="shared" si="2"/>
        <v>May-2023</v>
      </c>
      <c r="I96" s="2">
        <v>2097.48</v>
      </c>
      <c r="J96" s="2" t="s">
        <v>624</v>
      </c>
      <c r="K96" s="2" t="s">
        <v>619</v>
      </c>
    </row>
    <row r="97" spans="1:11" x14ac:dyDescent="0.3">
      <c r="A97" s="2" t="s">
        <v>713</v>
      </c>
      <c r="B97" s="2" t="s">
        <v>99</v>
      </c>
      <c r="C97" s="2" t="str">
        <f>_xlfn.XLOOKUP(B97,appointments!$B$2:$B$201,appointments!$C$2:$C$201)</f>
        <v>D006</v>
      </c>
      <c r="D97" s="2" t="str">
        <f>_xlfn.XLOOKUP(C97,Doctor!$A$2:$A$11,Doctor!$D$2:$D$11)</f>
        <v>Alex Davis</v>
      </c>
      <c r="E97" s="2" t="s">
        <v>370</v>
      </c>
      <c r="F97" s="2" t="str">
        <f>_xlfn.XLOOKUP(E97,Treatment!$A:$A,Treatment!$C:$C)</f>
        <v>X-Ray</v>
      </c>
      <c r="G97" s="4">
        <v>45114</v>
      </c>
      <c r="H97" s="4" t="str">
        <f t="shared" si="2"/>
        <v>July-2023</v>
      </c>
      <c r="I97" s="2">
        <v>812.41</v>
      </c>
      <c r="J97" s="2" t="s">
        <v>621</v>
      </c>
      <c r="K97" s="2" t="s">
        <v>614</v>
      </c>
    </row>
    <row r="98" spans="1:11" x14ac:dyDescent="0.3">
      <c r="A98" s="2" t="s">
        <v>714</v>
      </c>
      <c r="B98" s="2" t="s">
        <v>116</v>
      </c>
      <c r="C98" s="2" t="str">
        <f>_xlfn.XLOOKUP(B98,appointments!$B$2:$B$201,appointments!$C$2:$C$201)</f>
        <v>D004</v>
      </c>
      <c r="D98" s="2" t="str">
        <f>_xlfn.XLOOKUP(C98,Doctor!$A$2:$A$11,Doctor!$D$2:$D$11)</f>
        <v>David Jones</v>
      </c>
      <c r="E98" s="2" t="s">
        <v>371</v>
      </c>
      <c r="F98" s="2" t="str">
        <f>_xlfn.XLOOKUP(E98,Treatment!$A:$A,Treatment!$C:$C)</f>
        <v>Chemotherapy</v>
      </c>
      <c r="G98" s="4">
        <v>45052</v>
      </c>
      <c r="H98" s="4" t="str">
        <f t="shared" si="2"/>
        <v>May-2023</v>
      </c>
      <c r="I98" s="2">
        <v>2835.77</v>
      </c>
      <c r="J98" s="2" t="s">
        <v>624</v>
      </c>
      <c r="K98" s="2" t="s">
        <v>619</v>
      </c>
    </row>
    <row r="99" spans="1:11" x14ac:dyDescent="0.3">
      <c r="A99" s="2" t="s">
        <v>715</v>
      </c>
      <c r="B99" s="2" t="s">
        <v>21</v>
      </c>
      <c r="C99" s="2" t="str">
        <f>_xlfn.XLOOKUP(B99,appointments!$B$2:$B$201,appointments!$C$2:$C$201)</f>
        <v>D006</v>
      </c>
      <c r="D99" s="2" t="str">
        <f>_xlfn.XLOOKUP(C99,Doctor!$A$2:$A$11,Doctor!$D$2:$D$11)</f>
        <v>Alex Davis</v>
      </c>
      <c r="E99" s="2" t="s">
        <v>372</v>
      </c>
      <c r="F99" s="2" t="str">
        <f>_xlfn.XLOOKUP(E99,Treatment!$A:$A,Treatment!$C:$C)</f>
        <v>ECG</v>
      </c>
      <c r="G99" s="4">
        <v>45002</v>
      </c>
      <c r="H99" s="4" t="str">
        <f t="shared" si="2"/>
        <v>March-2023</v>
      </c>
      <c r="I99" s="2">
        <v>804.26</v>
      </c>
      <c r="J99" s="2" t="s">
        <v>621</v>
      </c>
      <c r="K99" s="2" t="s">
        <v>616</v>
      </c>
    </row>
    <row r="100" spans="1:11" x14ac:dyDescent="0.3">
      <c r="A100" s="2" t="s">
        <v>716</v>
      </c>
      <c r="B100" s="2" t="s">
        <v>161</v>
      </c>
      <c r="C100" s="2" t="str">
        <f>_xlfn.XLOOKUP(B100,appointments!$B$2:$B$201,appointments!$C$2:$C$201)</f>
        <v>D007</v>
      </c>
      <c r="D100" s="2" t="str">
        <f>_xlfn.XLOOKUP(C100,Doctor!$A$2:$A$11,Doctor!$D$2:$D$11)</f>
        <v>Robert Davis</v>
      </c>
      <c r="E100" s="2" t="s">
        <v>373</v>
      </c>
      <c r="F100" s="2" t="str">
        <f>_xlfn.XLOOKUP(E100,Treatment!$A:$A,Treatment!$C:$C)</f>
        <v>MRI</v>
      </c>
      <c r="G100" s="4">
        <v>45111</v>
      </c>
      <c r="H100" s="4" t="str">
        <f t="shared" si="2"/>
        <v>July-2023</v>
      </c>
      <c r="I100" s="2">
        <v>4101.6000000000004</v>
      </c>
      <c r="J100" s="2" t="s">
        <v>621</v>
      </c>
      <c r="K100" s="2" t="s">
        <v>614</v>
      </c>
    </row>
    <row r="101" spans="1:11" x14ac:dyDescent="0.3">
      <c r="A101" s="2" t="s">
        <v>717</v>
      </c>
      <c r="B101" s="2" t="s">
        <v>38</v>
      </c>
      <c r="C101" s="2" t="str">
        <f>_xlfn.XLOOKUP(B101,appointments!$B$2:$B$201,appointments!$C$2:$C$201)</f>
        <v>D003</v>
      </c>
      <c r="D101" s="2" t="str">
        <f>_xlfn.XLOOKUP(C101,Doctor!$A$2:$A$11,Doctor!$D$2:$D$11)</f>
        <v>Jane Smith</v>
      </c>
      <c r="E101" s="2" t="s">
        <v>374</v>
      </c>
      <c r="F101" s="2" t="str">
        <f>_xlfn.XLOOKUP(E101,Treatment!$A:$A,Treatment!$C:$C)</f>
        <v>Physiotherapy</v>
      </c>
      <c r="G101" s="4">
        <v>44987</v>
      </c>
      <c r="H101" s="4" t="str">
        <f t="shared" si="2"/>
        <v>March-2023</v>
      </c>
      <c r="I101" s="2">
        <v>1551.7</v>
      </c>
      <c r="J101" s="2" t="s">
        <v>621</v>
      </c>
      <c r="K101" s="2" t="s">
        <v>619</v>
      </c>
    </row>
    <row r="102" spans="1:11" x14ac:dyDescent="0.3">
      <c r="A102" s="2" t="s">
        <v>718</v>
      </c>
      <c r="B102" s="2" t="s">
        <v>77</v>
      </c>
      <c r="C102" s="2" t="str">
        <f>_xlfn.XLOOKUP(B102,appointments!$B$2:$B$201,appointments!$C$2:$C$201)</f>
        <v>D003</v>
      </c>
      <c r="D102" s="2" t="str">
        <f>_xlfn.XLOOKUP(C102,Doctor!$A$2:$A$11,Doctor!$D$2:$D$11)</f>
        <v>Jane Smith</v>
      </c>
      <c r="E102" s="2" t="s">
        <v>375</v>
      </c>
      <c r="F102" s="2" t="str">
        <f>_xlfn.XLOOKUP(E102,Treatment!$A:$A,Treatment!$C:$C)</f>
        <v>MRI</v>
      </c>
      <c r="G102" s="4">
        <v>45190</v>
      </c>
      <c r="H102" s="4" t="str">
        <f t="shared" si="2"/>
        <v>September-2023</v>
      </c>
      <c r="I102" s="2">
        <v>2930.05</v>
      </c>
      <c r="J102" s="2" t="s">
        <v>621</v>
      </c>
      <c r="K102" s="2" t="s">
        <v>616</v>
      </c>
    </row>
    <row r="103" spans="1:11" x14ac:dyDescent="0.3">
      <c r="A103" s="2" t="s">
        <v>719</v>
      </c>
      <c r="B103" s="2" t="s">
        <v>14</v>
      </c>
      <c r="C103" s="2" t="str">
        <f>_xlfn.XLOOKUP(B103,appointments!$B$2:$B$201,appointments!$C$2:$C$201)</f>
        <v>D006</v>
      </c>
      <c r="D103" s="2" t="str">
        <f>_xlfn.XLOOKUP(C103,Doctor!$A$2:$A$11,Doctor!$D$2:$D$11)</f>
        <v>Alex Davis</v>
      </c>
      <c r="E103" s="2" t="s">
        <v>376</v>
      </c>
      <c r="F103" s="2" t="str">
        <f>_xlfn.XLOOKUP(E103,Treatment!$A:$A,Treatment!$C:$C)</f>
        <v>MRI</v>
      </c>
      <c r="G103" s="4">
        <v>45224</v>
      </c>
      <c r="H103" s="4" t="str">
        <f t="shared" si="2"/>
        <v>October-2023</v>
      </c>
      <c r="I103" s="2">
        <v>4460.3599999999997</v>
      </c>
      <c r="J103" s="2" t="s">
        <v>621</v>
      </c>
      <c r="K103" s="2" t="s">
        <v>614</v>
      </c>
    </row>
    <row r="104" spans="1:11" x14ac:dyDescent="0.3">
      <c r="A104" s="2" t="s">
        <v>720</v>
      </c>
      <c r="B104" s="2" t="s">
        <v>74</v>
      </c>
      <c r="C104" s="2" t="str">
        <f>_xlfn.XLOOKUP(B104,appointments!$B$2:$B$201,appointments!$C$2:$C$201)</f>
        <v>D005</v>
      </c>
      <c r="D104" s="2" t="str">
        <f>_xlfn.XLOOKUP(C104,Doctor!$A$2:$A$11,Doctor!$D$2:$D$11)</f>
        <v>Sarah Taylor</v>
      </c>
      <c r="E104" s="2" t="s">
        <v>377</v>
      </c>
      <c r="F104" s="2" t="str">
        <f>_xlfn.XLOOKUP(E104,Treatment!$A:$A,Treatment!$C:$C)</f>
        <v>ECG</v>
      </c>
      <c r="G104" s="4">
        <v>44950</v>
      </c>
      <c r="H104" s="4" t="str">
        <f t="shared" si="2"/>
        <v>January-2023</v>
      </c>
      <c r="I104" s="2">
        <v>3428.95</v>
      </c>
      <c r="J104" s="2" t="s">
        <v>621</v>
      </c>
      <c r="K104" s="2" t="s">
        <v>614</v>
      </c>
    </row>
    <row r="105" spans="1:11" x14ac:dyDescent="0.3">
      <c r="A105" s="2" t="s">
        <v>721</v>
      </c>
      <c r="B105" s="2" t="s">
        <v>77</v>
      </c>
      <c r="C105" s="2" t="str">
        <f>_xlfn.XLOOKUP(B105,appointments!$B$2:$B$201,appointments!$C$2:$C$201)</f>
        <v>D003</v>
      </c>
      <c r="D105" s="2" t="str">
        <f>_xlfn.XLOOKUP(C105,Doctor!$A$2:$A$11,Doctor!$D$2:$D$11)</f>
        <v>Jane Smith</v>
      </c>
      <c r="E105" s="2" t="s">
        <v>378</v>
      </c>
      <c r="F105" s="2" t="str">
        <f>_xlfn.XLOOKUP(E105,Treatment!$A:$A,Treatment!$C:$C)</f>
        <v>ECG</v>
      </c>
      <c r="G105" s="4">
        <v>45034</v>
      </c>
      <c r="H105" s="4" t="str">
        <f t="shared" si="2"/>
        <v>April-2023</v>
      </c>
      <c r="I105" s="2">
        <v>2898.31</v>
      </c>
      <c r="J105" s="2" t="s">
        <v>621</v>
      </c>
      <c r="K105" s="2" t="s">
        <v>619</v>
      </c>
    </row>
    <row r="106" spans="1:11" x14ac:dyDescent="0.3">
      <c r="A106" s="2" t="s">
        <v>722</v>
      </c>
      <c r="B106" s="2" t="s">
        <v>85</v>
      </c>
      <c r="C106" s="2" t="str">
        <f>_xlfn.XLOOKUP(B106,appointments!$B$2:$B$201,appointments!$C$2:$C$201)</f>
        <v>D009</v>
      </c>
      <c r="D106" s="2" t="str">
        <f>_xlfn.XLOOKUP(C106,Doctor!$A$2:$A$11,Doctor!$D$2:$D$11)</f>
        <v>Sarah Smith</v>
      </c>
      <c r="E106" s="2" t="s">
        <v>379</v>
      </c>
      <c r="F106" s="2" t="str">
        <f>_xlfn.XLOOKUP(E106,Treatment!$A:$A,Treatment!$C:$C)</f>
        <v>ECG</v>
      </c>
      <c r="G106" s="4">
        <v>45152</v>
      </c>
      <c r="H106" s="4" t="str">
        <f t="shared" si="2"/>
        <v>August-2023</v>
      </c>
      <c r="I106" s="2">
        <v>1959.5</v>
      </c>
      <c r="J106" s="2" t="s">
        <v>624</v>
      </c>
      <c r="K106" s="2" t="s">
        <v>614</v>
      </c>
    </row>
    <row r="107" spans="1:11" x14ac:dyDescent="0.3">
      <c r="A107" s="2" t="s">
        <v>723</v>
      </c>
      <c r="B107" s="2" t="s">
        <v>49</v>
      </c>
      <c r="C107" s="2" t="str">
        <f>_xlfn.XLOOKUP(B107,appointments!$B$2:$B$201,appointments!$C$2:$C$201)</f>
        <v>D009</v>
      </c>
      <c r="D107" s="2" t="str">
        <f>_xlfn.XLOOKUP(C107,Doctor!$A$2:$A$11,Doctor!$D$2:$D$11)</f>
        <v>Sarah Smith</v>
      </c>
      <c r="E107" s="2" t="s">
        <v>380</v>
      </c>
      <c r="F107" s="2" t="str">
        <f>_xlfn.XLOOKUP(E107,Treatment!$A:$A,Treatment!$C:$C)</f>
        <v>X-Ray</v>
      </c>
      <c r="G107" s="4">
        <v>45228</v>
      </c>
      <c r="H107" s="4" t="str">
        <f t="shared" si="2"/>
        <v>October-2023</v>
      </c>
      <c r="I107" s="2">
        <v>1998.51</v>
      </c>
      <c r="J107" s="2" t="s">
        <v>621</v>
      </c>
      <c r="K107" s="2" t="s">
        <v>616</v>
      </c>
    </row>
    <row r="108" spans="1:11" x14ac:dyDescent="0.3">
      <c r="A108" s="2" t="s">
        <v>724</v>
      </c>
      <c r="B108" s="2" t="s">
        <v>170</v>
      </c>
      <c r="C108" s="2" t="str">
        <f>_xlfn.XLOOKUP(B108,appointments!$B$2:$B$201,appointments!$C$2:$C$201)</f>
        <v>D007</v>
      </c>
      <c r="D108" s="2" t="str">
        <f>_xlfn.XLOOKUP(C108,Doctor!$A$2:$A$11,Doctor!$D$2:$D$11)</f>
        <v>Robert Davis</v>
      </c>
      <c r="E108" s="2" t="s">
        <v>381</v>
      </c>
      <c r="F108" s="2" t="str">
        <f>_xlfn.XLOOKUP(E108,Treatment!$A:$A,Treatment!$C:$C)</f>
        <v>Chemotherapy</v>
      </c>
      <c r="G108" s="4">
        <v>45033</v>
      </c>
      <c r="H108" s="4" t="str">
        <f t="shared" si="2"/>
        <v>April-2023</v>
      </c>
      <c r="I108" s="2">
        <v>3512.69</v>
      </c>
      <c r="J108" s="2" t="s">
        <v>621</v>
      </c>
      <c r="K108" s="2" t="s">
        <v>614</v>
      </c>
    </row>
    <row r="109" spans="1:11" x14ac:dyDescent="0.3">
      <c r="A109" s="2" t="s">
        <v>725</v>
      </c>
      <c r="B109" s="2" t="s">
        <v>102</v>
      </c>
      <c r="C109" s="2" t="str">
        <f>_xlfn.XLOOKUP(B109,appointments!$B$2:$B$201,appointments!$C$2:$C$201)</f>
        <v>D005</v>
      </c>
      <c r="D109" s="2" t="str">
        <f>_xlfn.XLOOKUP(C109,Doctor!$A$2:$A$11,Doctor!$D$2:$D$11)</f>
        <v>Sarah Taylor</v>
      </c>
      <c r="E109" s="2" t="s">
        <v>382</v>
      </c>
      <c r="F109" s="2" t="str">
        <f>_xlfn.XLOOKUP(E109,Treatment!$A:$A,Treatment!$C:$C)</f>
        <v>X-Ray</v>
      </c>
      <c r="G109" s="4">
        <v>45037</v>
      </c>
      <c r="H109" s="4" t="str">
        <f t="shared" si="2"/>
        <v>April-2023</v>
      </c>
      <c r="I109" s="2">
        <v>4973.63</v>
      </c>
      <c r="J109" s="2" t="s">
        <v>624</v>
      </c>
      <c r="K109" s="2" t="s">
        <v>616</v>
      </c>
    </row>
    <row r="110" spans="1:11" x14ac:dyDescent="0.3">
      <c r="A110" s="2" t="s">
        <v>726</v>
      </c>
      <c r="B110" s="2" t="s">
        <v>118</v>
      </c>
      <c r="C110" s="2" t="str">
        <f>_xlfn.XLOOKUP(B110,appointments!$B$2:$B$201,appointments!$C$2:$C$201)</f>
        <v>D006</v>
      </c>
      <c r="D110" s="2" t="str">
        <f>_xlfn.XLOOKUP(C110,Doctor!$A$2:$A$11,Doctor!$D$2:$D$11)</f>
        <v>Alex Davis</v>
      </c>
      <c r="E110" s="2" t="s">
        <v>383</v>
      </c>
      <c r="F110" s="2" t="str">
        <f>_xlfn.XLOOKUP(E110,Treatment!$A:$A,Treatment!$C:$C)</f>
        <v>Chemotherapy</v>
      </c>
      <c r="G110" s="4">
        <v>45136</v>
      </c>
      <c r="H110" s="4" t="str">
        <f t="shared" si="2"/>
        <v>July-2023</v>
      </c>
      <c r="I110" s="2">
        <v>3478.28</v>
      </c>
      <c r="J110" s="2" t="s">
        <v>624</v>
      </c>
      <c r="K110" s="2" t="s">
        <v>614</v>
      </c>
    </row>
    <row r="111" spans="1:11" x14ac:dyDescent="0.3">
      <c r="A111" s="2" t="s">
        <v>727</v>
      </c>
      <c r="B111" s="2" t="s">
        <v>61</v>
      </c>
      <c r="C111" s="2" t="str">
        <f>_xlfn.XLOOKUP(B111,appointments!$B$2:$B$201,appointments!$C$2:$C$201)</f>
        <v>D008</v>
      </c>
      <c r="D111" s="2" t="str">
        <f>_xlfn.XLOOKUP(C111,Doctor!$A$2:$A$11,Doctor!$D$2:$D$11)</f>
        <v>Linda Brown</v>
      </c>
      <c r="E111" s="2" t="s">
        <v>384</v>
      </c>
      <c r="F111" s="2" t="str">
        <f>_xlfn.XLOOKUP(E111,Treatment!$A:$A,Treatment!$C:$C)</f>
        <v>Chemotherapy</v>
      </c>
      <c r="G111" s="4">
        <v>45126</v>
      </c>
      <c r="H111" s="4" t="str">
        <f t="shared" si="2"/>
        <v>July-2023</v>
      </c>
      <c r="I111" s="2">
        <v>3010.03</v>
      </c>
      <c r="J111" s="2" t="s">
        <v>624</v>
      </c>
      <c r="K111" s="2" t="s">
        <v>619</v>
      </c>
    </row>
    <row r="112" spans="1:11" x14ac:dyDescent="0.3">
      <c r="A112" s="2" t="s">
        <v>728</v>
      </c>
      <c r="B112" s="2" t="s">
        <v>118</v>
      </c>
      <c r="C112" s="2" t="str">
        <f>_xlfn.XLOOKUP(B112,appointments!$B$2:$B$201,appointments!$C$2:$C$201)</f>
        <v>D006</v>
      </c>
      <c r="D112" s="2" t="str">
        <f>_xlfn.XLOOKUP(C112,Doctor!$A$2:$A$11,Doctor!$D$2:$D$11)</f>
        <v>Alex Davis</v>
      </c>
      <c r="E112" s="2" t="s">
        <v>385</v>
      </c>
      <c r="F112" s="2" t="str">
        <f>_xlfn.XLOOKUP(E112,Treatment!$A:$A,Treatment!$C:$C)</f>
        <v>MRI</v>
      </c>
      <c r="G112" s="4">
        <v>45068</v>
      </c>
      <c r="H112" s="4" t="str">
        <f t="shared" si="2"/>
        <v>May-2023</v>
      </c>
      <c r="I112" s="2">
        <v>3787.93</v>
      </c>
      <c r="J112" s="2" t="s">
        <v>621</v>
      </c>
      <c r="K112" s="2" t="s">
        <v>616</v>
      </c>
    </row>
    <row r="113" spans="1:11" x14ac:dyDescent="0.3">
      <c r="A113" s="2" t="s">
        <v>729</v>
      </c>
      <c r="B113" s="2" t="s">
        <v>10</v>
      </c>
      <c r="C113" s="2" t="str">
        <f>_xlfn.XLOOKUP(B113,appointments!$B$2:$B$201,appointments!$C$2:$C$201)</f>
        <v>D004</v>
      </c>
      <c r="D113" s="2" t="str">
        <f>_xlfn.XLOOKUP(C113,Doctor!$A$2:$A$11,Doctor!$D$2:$D$11)</f>
        <v>David Jones</v>
      </c>
      <c r="E113" s="2" t="s">
        <v>386</v>
      </c>
      <c r="F113" s="2" t="str">
        <f>_xlfn.XLOOKUP(E113,Treatment!$A:$A,Treatment!$C:$C)</f>
        <v>MRI</v>
      </c>
      <c r="G113" s="4">
        <v>44937</v>
      </c>
      <c r="H113" s="4" t="str">
        <f t="shared" si="2"/>
        <v>January-2023</v>
      </c>
      <c r="I113" s="2">
        <v>2593.4299999999998</v>
      </c>
      <c r="J113" s="2" t="s">
        <v>613</v>
      </c>
      <c r="K113" s="2" t="s">
        <v>614</v>
      </c>
    </row>
    <row r="114" spans="1:11" x14ac:dyDescent="0.3">
      <c r="A114" s="2" t="s">
        <v>730</v>
      </c>
      <c r="B114" s="2" t="s">
        <v>77</v>
      </c>
      <c r="C114" s="2" t="str">
        <f>_xlfn.XLOOKUP(B114,appointments!$B$2:$B$201,appointments!$C$2:$C$201)</f>
        <v>D003</v>
      </c>
      <c r="D114" s="2" t="str">
        <f>_xlfn.XLOOKUP(C114,Doctor!$A$2:$A$11,Doctor!$D$2:$D$11)</f>
        <v>Jane Smith</v>
      </c>
      <c r="E114" s="2" t="s">
        <v>387</v>
      </c>
      <c r="F114" s="2" t="str">
        <f>_xlfn.XLOOKUP(E114,Treatment!$A:$A,Treatment!$C:$C)</f>
        <v>Chemotherapy</v>
      </c>
      <c r="G114" s="4">
        <v>45254</v>
      </c>
      <c r="H114" s="4" t="str">
        <f t="shared" si="2"/>
        <v>November-2023</v>
      </c>
      <c r="I114" s="2">
        <v>770.64</v>
      </c>
      <c r="J114" s="2" t="s">
        <v>613</v>
      </c>
      <c r="K114" s="2" t="s">
        <v>614</v>
      </c>
    </row>
    <row r="115" spans="1:11" x14ac:dyDescent="0.3">
      <c r="A115" s="2" t="s">
        <v>731</v>
      </c>
      <c r="B115" s="2" t="s">
        <v>178</v>
      </c>
      <c r="C115" s="2" t="str">
        <f>_xlfn.XLOOKUP(B115,appointments!$B$2:$B$201,appointments!$C$2:$C$201)</f>
        <v>D001</v>
      </c>
      <c r="D115" s="2" t="str">
        <f>_xlfn.XLOOKUP(C115,Doctor!$A$2:$A$11,Doctor!$D$2:$D$11)</f>
        <v>David Taylor</v>
      </c>
      <c r="E115" s="2" t="s">
        <v>388</v>
      </c>
      <c r="F115" s="2" t="str">
        <f>_xlfn.XLOOKUP(E115,Treatment!$A:$A,Treatment!$C:$C)</f>
        <v>Chemotherapy</v>
      </c>
      <c r="G115" s="4">
        <v>45146</v>
      </c>
      <c r="H115" s="4" t="str">
        <f t="shared" si="2"/>
        <v>August-2023</v>
      </c>
      <c r="I115" s="2">
        <v>3030.34</v>
      </c>
      <c r="J115" s="2" t="s">
        <v>624</v>
      </c>
      <c r="K115" s="2" t="s">
        <v>614</v>
      </c>
    </row>
    <row r="116" spans="1:11" x14ac:dyDescent="0.3">
      <c r="A116" s="2" t="s">
        <v>732</v>
      </c>
      <c r="B116" s="2" t="s">
        <v>61</v>
      </c>
      <c r="C116" s="2" t="str">
        <f>_xlfn.XLOOKUP(B116,appointments!$B$2:$B$201,appointments!$C$2:$C$201)</f>
        <v>D008</v>
      </c>
      <c r="D116" s="2" t="str">
        <f>_xlfn.XLOOKUP(C116,Doctor!$A$2:$A$11,Doctor!$D$2:$D$11)</f>
        <v>Linda Brown</v>
      </c>
      <c r="E116" s="2" t="s">
        <v>389</v>
      </c>
      <c r="F116" s="2" t="str">
        <f>_xlfn.XLOOKUP(E116,Treatment!$A:$A,Treatment!$C:$C)</f>
        <v>X-Ray</v>
      </c>
      <c r="G116" s="4">
        <v>45224</v>
      </c>
      <c r="H116" s="4" t="str">
        <f t="shared" si="2"/>
        <v>October-2023</v>
      </c>
      <c r="I116" s="2">
        <v>4809.3100000000004</v>
      </c>
      <c r="J116" s="2" t="s">
        <v>613</v>
      </c>
      <c r="K116" s="2" t="s">
        <v>616</v>
      </c>
    </row>
    <row r="117" spans="1:11" x14ac:dyDescent="0.3">
      <c r="A117" s="2" t="s">
        <v>733</v>
      </c>
      <c r="B117" s="2" t="s">
        <v>30</v>
      </c>
      <c r="C117" s="2" t="str">
        <f>_xlfn.XLOOKUP(B117,appointments!$B$2:$B$201,appointments!$C$2:$C$201)</f>
        <v>D010</v>
      </c>
      <c r="D117" s="2" t="str">
        <f>_xlfn.XLOOKUP(C117,Doctor!$A$2:$A$11,Doctor!$D$2:$D$11)</f>
        <v>Linda Wilson</v>
      </c>
      <c r="E117" s="2" t="s">
        <v>390</v>
      </c>
      <c r="F117" s="2" t="str">
        <f>_xlfn.XLOOKUP(E117,Treatment!$A:$A,Treatment!$C:$C)</f>
        <v>X-Ray</v>
      </c>
      <c r="G117" s="4">
        <v>45114</v>
      </c>
      <c r="H117" s="4" t="str">
        <f t="shared" si="2"/>
        <v>July-2023</v>
      </c>
      <c r="I117" s="2">
        <v>1288.8599999999999</v>
      </c>
      <c r="J117" s="2" t="s">
        <v>624</v>
      </c>
      <c r="K117" s="2" t="s">
        <v>616</v>
      </c>
    </row>
    <row r="118" spans="1:11" x14ac:dyDescent="0.3">
      <c r="A118" s="2" t="s">
        <v>734</v>
      </c>
      <c r="B118" s="2" t="s">
        <v>6</v>
      </c>
      <c r="C118" s="2" t="str">
        <f>_xlfn.XLOOKUP(B118,appointments!$B$2:$B$201,appointments!$C$2:$C$201)</f>
        <v>D004</v>
      </c>
      <c r="D118" s="2" t="str">
        <f>_xlfn.XLOOKUP(C118,Doctor!$A$2:$A$11,Doctor!$D$2:$D$11)</f>
        <v>David Jones</v>
      </c>
      <c r="E118" s="2" t="s">
        <v>391</v>
      </c>
      <c r="F118" s="2" t="str">
        <f>_xlfn.XLOOKUP(E118,Treatment!$A:$A,Treatment!$C:$C)</f>
        <v>MRI</v>
      </c>
      <c r="G118" s="4">
        <v>45097</v>
      </c>
      <c r="H118" s="4" t="str">
        <f t="shared" si="2"/>
        <v>June-2023</v>
      </c>
      <c r="I118" s="2">
        <v>3605.02</v>
      </c>
      <c r="J118" s="2" t="s">
        <v>621</v>
      </c>
      <c r="K118" s="2" t="s">
        <v>616</v>
      </c>
    </row>
    <row r="119" spans="1:11" x14ac:dyDescent="0.3">
      <c r="A119" s="2" t="s">
        <v>735</v>
      </c>
      <c r="B119" s="2" t="s">
        <v>102</v>
      </c>
      <c r="C119" s="2" t="str">
        <f>_xlfn.XLOOKUP(B119,appointments!$B$2:$B$201,appointments!$C$2:$C$201)</f>
        <v>D005</v>
      </c>
      <c r="D119" s="2" t="str">
        <f>_xlfn.XLOOKUP(C119,Doctor!$A$2:$A$11,Doctor!$D$2:$D$11)</f>
        <v>Sarah Taylor</v>
      </c>
      <c r="E119" s="2" t="s">
        <v>392</v>
      </c>
      <c r="F119" s="2" t="str">
        <f>_xlfn.XLOOKUP(E119,Treatment!$A:$A,Treatment!$C:$C)</f>
        <v>ECG</v>
      </c>
      <c r="G119" s="4">
        <v>45147</v>
      </c>
      <c r="H119" s="4" t="str">
        <f t="shared" si="2"/>
        <v>August-2023</v>
      </c>
      <c r="I119" s="2">
        <v>1404.2</v>
      </c>
      <c r="J119" s="2" t="s">
        <v>613</v>
      </c>
      <c r="K119" s="2" t="s">
        <v>619</v>
      </c>
    </row>
    <row r="120" spans="1:11" x14ac:dyDescent="0.3">
      <c r="A120" s="2" t="s">
        <v>736</v>
      </c>
      <c r="B120" s="2" t="s">
        <v>83</v>
      </c>
      <c r="C120" s="2" t="str">
        <f>_xlfn.XLOOKUP(B120,appointments!$B$2:$B$201,appointments!$C$2:$C$201)</f>
        <v>D002</v>
      </c>
      <c r="D120" s="2" t="str">
        <f>_xlfn.XLOOKUP(C120,Doctor!$A$2:$A$11,Doctor!$D$2:$D$11)</f>
        <v>Jane Davis</v>
      </c>
      <c r="E120" s="2" t="s">
        <v>393</v>
      </c>
      <c r="F120" s="2" t="str">
        <f>_xlfn.XLOOKUP(E120,Treatment!$A:$A,Treatment!$C:$C)</f>
        <v>Chemotherapy</v>
      </c>
      <c r="G120" s="4">
        <v>45278</v>
      </c>
      <c r="H120" s="4" t="str">
        <f t="shared" si="2"/>
        <v>December-2023</v>
      </c>
      <c r="I120" s="2">
        <v>2911.22</v>
      </c>
      <c r="J120" s="2" t="s">
        <v>621</v>
      </c>
      <c r="K120" s="2" t="s">
        <v>619</v>
      </c>
    </row>
    <row r="121" spans="1:11" x14ac:dyDescent="0.3">
      <c r="A121" s="2" t="s">
        <v>737</v>
      </c>
      <c r="B121" s="2" t="s">
        <v>6</v>
      </c>
      <c r="C121" s="2" t="str">
        <f>_xlfn.XLOOKUP(B121,appointments!$B$2:$B$201,appointments!$C$2:$C$201)</f>
        <v>D004</v>
      </c>
      <c r="D121" s="2" t="str">
        <f>_xlfn.XLOOKUP(C121,Doctor!$A$2:$A$11,Doctor!$D$2:$D$11)</f>
        <v>David Jones</v>
      </c>
      <c r="E121" s="2" t="s">
        <v>394</v>
      </c>
      <c r="F121" s="2" t="str">
        <f>_xlfn.XLOOKUP(E121,Treatment!$A:$A,Treatment!$C:$C)</f>
        <v>X-Ray</v>
      </c>
      <c r="G121" s="4">
        <v>45268</v>
      </c>
      <c r="H121" s="4" t="str">
        <f t="shared" si="2"/>
        <v>December-2023</v>
      </c>
      <c r="I121" s="2">
        <v>935.04</v>
      </c>
      <c r="J121" s="2" t="s">
        <v>613</v>
      </c>
      <c r="K121" s="2" t="s">
        <v>616</v>
      </c>
    </row>
    <row r="122" spans="1:11" x14ac:dyDescent="0.3">
      <c r="A122" s="2" t="s">
        <v>738</v>
      </c>
      <c r="B122" s="2" t="s">
        <v>49</v>
      </c>
      <c r="C122" s="2" t="str">
        <f>_xlfn.XLOOKUP(B122,appointments!$B$2:$B$201,appointments!$C$2:$C$201)</f>
        <v>D009</v>
      </c>
      <c r="D122" s="2" t="str">
        <f>_xlfn.XLOOKUP(C122,Doctor!$A$2:$A$11,Doctor!$D$2:$D$11)</f>
        <v>Sarah Smith</v>
      </c>
      <c r="E122" s="2" t="s">
        <v>395</v>
      </c>
      <c r="F122" s="2" t="str">
        <f>_xlfn.XLOOKUP(E122,Treatment!$A:$A,Treatment!$C:$C)</f>
        <v>MRI</v>
      </c>
      <c r="G122" s="4">
        <v>45023</v>
      </c>
      <c r="H122" s="4" t="str">
        <f t="shared" si="2"/>
        <v>April-2023</v>
      </c>
      <c r="I122" s="2">
        <v>2526.67</v>
      </c>
      <c r="J122" s="2" t="s">
        <v>621</v>
      </c>
      <c r="K122" s="2" t="s">
        <v>614</v>
      </c>
    </row>
    <row r="123" spans="1:11" x14ac:dyDescent="0.3">
      <c r="A123" s="2" t="s">
        <v>739</v>
      </c>
      <c r="B123" s="2" t="s">
        <v>43</v>
      </c>
      <c r="C123" s="2" t="str">
        <f>_xlfn.XLOOKUP(B123,appointments!$B$2:$B$201,appointments!$C$2:$C$201)</f>
        <v>D010</v>
      </c>
      <c r="D123" s="2" t="str">
        <f>_xlfn.XLOOKUP(C123,Doctor!$A$2:$A$11,Doctor!$D$2:$D$11)</f>
        <v>Linda Wilson</v>
      </c>
      <c r="E123" s="2" t="s">
        <v>396</v>
      </c>
      <c r="F123" s="2" t="str">
        <f>_xlfn.XLOOKUP(E123,Treatment!$A:$A,Treatment!$C:$C)</f>
        <v>X-Ray</v>
      </c>
      <c r="G123" s="4">
        <v>45118</v>
      </c>
      <c r="H123" s="4" t="str">
        <f t="shared" si="2"/>
        <v>July-2023</v>
      </c>
      <c r="I123" s="2">
        <v>3902.73</v>
      </c>
      <c r="J123" s="2" t="s">
        <v>613</v>
      </c>
      <c r="K123" s="2" t="s">
        <v>619</v>
      </c>
    </row>
    <row r="124" spans="1:11" x14ac:dyDescent="0.3">
      <c r="A124" s="2" t="s">
        <v>740</v>
      </c>
      <c r="B124" s="2" t="s">
        <v>61</v>
      </c>
      <c r="C124" s="2" t="str">
        <f>_xlfn.XLOOKUP(B124,appointments!$B$2:$B$201,appointments!$C$2:$C$201)</f>
        <v>D008</v>
      </c>
      <c r="D124" s="2" t="str">
        <f>_xlfn.XLOOKUP(C124,Doctor!$A$2:$A$11,Doctor!$D$2:$D$11)</f>
        <v>Linda Brown</v>
      </c>
      <c r="E124" s="2" t="s">
        <v>397</v>
      </c>
      <c r="F124" s="2" t="str">
        <f>_xlfn.XLOOKUP(E124,Treatment!$A:$A,Treatment!$C:$C)</f>
        <v>Chemotherapy</v>
      </c>
      <c r="G124" s="4">
        <v>44985</v>
      </c>
      <c r="H124" s="4" t="str">
        <f t="shared" si="2"/>
        <v>February-2023</v>
      </c>
      <c r="I124" s="2">
        <v>2064.0700000000002</v>
      </c>
      <c r="J124" s="2" t="s">
        <v>621</v>
      </c>
      <c r="K124" s="2" t="s">
        <v>616</v>
      </c>
    </row>
    <row r="125" spans="1:11" x14ac:dyDescent="0.3">
      <c r="A125" s="2" t="s">
        <v>741</v>
      </c>
      <c r="B125" s="2" t="s">
        <v>135</v>
      </c>
      <c r="C125" s="2" t="str">
        <f>_xlfn.XLOOKUP(B125,appointments!$B$2:$B$201,appointments!$C$2:$C$201)</f>
        <v>D008</v>
      </c>
      <c r="D125" s="2" t="str">
        <f>_xlfn.XLOOKUP(C125,Doctor!$A$2:$A$11,Doctor!$D$2:$D$11)</f>
        <v>Linda Brown</v>
      </c>
      <c r="E125" s="2" t="s">
        <v>398</v>
      </c>
      <c r="F125" s="2" t="str">
        <f>_xlfn.XLOOKUP(E125,Treatment!$A:$A,Treatment!$C:$C)</f>
        <v>Chemotherapy</v>
      </c>
      <c r="G125" s="4">
        <v>45001</v>
      </c>
      <c r="H125" s="4" t="str">
        <f t="shared" si="2"/>
        <v>March-2023</v>
      </c>
      <c r="I125" s="2">
        <v>3492.1</v>
      </c>
      <c r="J125" s="2" t="s">
        <v>621</v>
      </c>
      <c r="K125" s="2" t="s">
        <v>614</v>
      </c>
    </row>
    <row r="126" spans="1:11" x14ac:dyDescent="0.3">
      <c r="A126" s="2" t="s">
        <v>742</v>
      </c>
      <c r="B126" s="2" t="s">
        <v>83</v>
      </c>
      <c r="C126" s="2" t="str">
        <f>_xlfn.XLOOKUP(B126,appointments!$B$2:$B$201,appointments!$C$2:$C$201)</f>
        <v>D002</v>
      </c>
      <c r="D126" s="2" t="str">
        <f>_xlfn.XLOOKUP(C126,Doctor!$A$2:$A$11,Doctor!$D$2:$D$11)</f>
        <v>Jane Davis</v>
      </c>
      <c r="E126" s="2" t="s">
        <v>399</v>
      </c>
      <c r="F126" s="2" t="str">
        <f>_xlfn.XLOOKUP(E126,Treatment!$A:$A,Treatment!$C:$C)</f>
        <v>Physiotherapy</v>
      </c>
      <c r="G126" s="4">
        <v>44975</v>
      </c>
      <c r="H126" s="4" t="str">
        <f t="shared" si="2"/>
        <v>February-2023</v>
      </c>
      <c r="I126" s="2">
        <v>4079.52</v>
      </c>
      <c r="J126" s="2" t="s">
        <v>613</v>
      </c>
      <c r="K126" s="2" t="s">
        <v>619</v>
      </c>
    </row>
    <row r="127" spans="1:11" x14ac:dyDescent="0.3">
      <c r="A127" s="2" t="s">
        <v>743</v>
      </c>
      <c r="B127" s="2" t="s">
        <v>14</v>
      </c>
      <c r="C127" s="2" t="str">
        <f>_xlfn.XLOOKUP(B127,appointments!$B$2:$B$201,appointments!$C$2:$C$201)</f>
        <v>D006</v>
      </c>
      <c r="D127" s="2" t="str">
        <f>_xlfn.XLOOKUP(C127,Doctor!$A$2:$A$11,Doctor!$D$2:$D$11)</f>
        <v>Alex Davis</v>
      </c>
      <c r="E127" s="2" t="s">
        <v>400</v>
      </c>
      <c r="F127" s="2" t="str">
        <f>_xlfn.XLOOKUP(E127,Treatment!$A:$A,Treatment!$C:$C)</f>
        <v>ECG</v>
      </c>
      <c r="G127" s="4">
        <v>45232</v>
      </c>
      <c r="H127" s="4" t="str">
        <f t="shared" si="2"/>
        <v>November-2023</v>
      </c>
      <c r="I127" s="2">
        <v>4672.3</v>
      </c>
      <c r="J127" s="2" t="s">
        <v>621</v>
      </c>
      <c r="K127" s="2" t="s">
        <v>614</v>
      </c>
    </row>
    <row r="128" spans="1:11" x14ac:dyDescent="0.3">
      <c r="A128" s="2" t="s">
        <v>744</v>
      </c>
      <c r="B128" s="2" t="s">
        <v>118</v>
      </c>
      <c r="C128" s="2" t="str">
        <f>_xlfn.XLOOKUP(B128,appointments!$B$2:$B$201,appointments!$C$2:$C$201)</f>
        <v>D006</v>
      </c>
      <c r="D128" s="2" t="str">
        <f>_xlfn.XLOOKUP(C128,Doctor!$A$2:$A$11,Doctor!$D$2:$D$11)</f>
        <v>Alex Davis</v>
      </c>
      <c r="E128" s="2" t="s">
        <v>401</v>
      </c>
      <c r="F128" s="2" t="str">
        <f>_xlfn.XLOOKUP(E128,Treatment!$A:$A,Treatment!$C:$C)</f>
        <v>Physiotherapy</v>
      </c>
      <c r="G128" s="4">
        <v>45243</v>
      </c>
      <c r="H128" s="4" t="str">
        <f t="shared" si="2"/>
        <v>November-2023</v>
      </c>
      <c r="I128" s="2">
        <v>1555.89</v>
      </c>
      <c r="J128" s="2" t="s">
        <v>621</v>
      </c>
      <c r="K128" s="2" t="s">
        <v>614</v>
      </c>
    </row>
    <row r="129" spans="1:11" x14ac:dyDescent="0.3">
      <c r="A129" s="2" t="s">
        <v>745</v>
      </c>
      <c r="B129" s="2" t="s">
        <v>154</v>
      </c>
      <c r="C129" s="2" t="str">
        <f>_xlfn.XLOOKUP(B129,appointments!$B$2:$B$201,appointments!$C$2:$C$201)</f>
        <v>D002</v>
      </c>
      <c r="D129" s="2" t="str">
        <f>_xlfn.XLOOKUP(C129,Doctor!$A$2:$A$11,Doctor!$D$2:$D$11)</f>
        <v>Jane Davis</v>
      </c>
      <c r="E129" s="2" t="s">
        <v>402</v>
      </c>
      <c r="F129" s="2" t="str">
        <f>_xlfn.XLOOKUP(E129,Treatment!$A:$A,Treatment!$C:$C)</f>
        <v>MRI</v>
      </c>
      <c r="G129" s="4">
        <v>45031</v>
      </c>
      <c r="H129" s="4" t="str">
        <f t="shared" si="2"/>
        <v>April-2023</v>
      </c>
      <c r="I129" s="2">
        <v>2296.92</v>
      </c>
      <c r="J129" s="2" t="s">
        <v>621</v>
      </c>
      <c r="K129" s="2" t="s">
        <v>614</v>
      </c>
    </row>
    <row r="130" spans="1:11" x14ac:dyDescent="0.3">
      <c r="A130" s="2" t="s">
        <v>746</v>
      </c>
      <c r="B130" s="2" t="s">
        <v>63</v>
      </c>
      <c r="C130" s="2" t="str">
        <f>_xlfn.XLOOKUP(B130,appointments!$B$2:$B$201,appointments!$C$2:$C$201)</f>
        <v>D001</v>
      </c>
      <c r="D130" s="2" t="str">
        <f>_xlfn.XLOOKUP(C130,Doctor!$A$2:$A$11,Doctor!$D$2:$D$11)</f>
        <v>David Taylor</v>
      </c>
      <c r="E130" s="2" t="s">
        <v>403</v>
      </c>
      <c r="F130" s="2" t="str">
        <f>_xlfn.XLOOKUP(E130,Treatment!$A:$A,Treatment!$C:$C)</f>
        <v>X-Ray</v>
      </c>
      <c r="G130" s="4">
        <v>45163</v>
      </c>
      <c r="H130" s="4" t="str">
        <f t="shared" si="2"/>
        <v>August-2023</v>
      </c>
      <c r="I130" s="2">
        <v>1185.8699999999999</v>
      </c>
      <c r="J130" s="2" t="s">
        <v>613</v>
      </c>
      <c r="K130" s="2" t="s">
        <v>614</v>
      </c>
    </row>
    <row r="131" spans="1:11" x14ac:dyDescent="0.3">
      <c r="A131" s="2" t="s">
        <v>747</v>
      </c>
      <c r="B131" s="2" t="s">
        <v>144</v>
      </c>
      <c r="C131" s="2" t="str">
        <f>_xlfn.XLOOKUP(B131,appointments!$B$2:$B$201,appointments!$C$2:$C$201)</f>
        <v>D002</v>
      </c>
      <c r="D131" s="2" t="str">
        <f>_xlfn.XLOOKUP(C131,Doctor!$A$2:$A$11,Doctor!$D$2:$D$11)</f>
        <v>Jane Davis</v>
      </c>
      <c r="E131" s="2" t="s">
        <v>404</v>
      </c>
      <c r="F131" s="2" t="str">
        <f>_xlfn.XLOOKUP(E131,Treatment!$A:$A,Treatment!$C:$C)</f>
        <v>MRI</v>
      </c>
      <c r="G131" s="4">
        <v>44980</v>
      </c>
      <c r="H131" s="4" t="str">
        <f t="shared" ref="H131:H194" si="3">TEXT(G131,"mmmm-yyyy")</f>
        <v>February-2023</v>
      </c>
      <c r="I131" s="2">
        <v>4966.18</v>
      </c>
      <c r="J131" s="2" t="s">
        <v>613</v>
      </c>
      <c r="K131" s="2" t="s">
        <v>619</v>
      </c>
    </row>
    <row r="132" spans="1:11" x14ac:dyDescent="0.3">
      <c r="A132" s="2" t="s">
        <v>748</v>
      </c>
      <c r="B132" s="2" t="s">
        <v>61</v>
      </c>
      <c r="C132" s="2" t="str">
        <f>_xlfn.XLOOKUP(B132,appointments!$B$2:$B$201,appointments!$C$2:$C$201)</f>
        <v>D008</v>
      </c>
      <c r="D132" s="2" t="str">
        <f>_xlfn.XLOOKUP(C132,Doctor!$A$2:$A$11,Doctor!$D$2:$D$11)</f>
        <v>Linda Brown</v>
      </c>
      <c r="E132" s="2" t="s">
        <v>405</v>
      </c>
      <c r="F132" s="2" t="str">
        <f>_xlfn.XLOOKUP(E132,Treatment!$A:$A,Treatment!$C:$C)</f>
        <v>Chemotherapy</v>
      </c>
      <c r="G132" s="4">
        <v>45057</v>
      </c>
      <c r="H132" s="4" t="str">
        <f t="shared" si="3"/>
        <v>May-2023</v>
      </c>
      <c r="I132" s="2">
        <v>4671.5</v>
      </c>
      <c r="J132" s="2" t="s">
        <v>621</v>
      </c>
      <c r="K132" s="2" t="s">
        <v>619</v>
      </c>
    </row>
    <row r="133" spans="1:11" x14ac:dyDescent="0.3">
      <c r="A133" s="2" t="s">
        <v>749</v>
      </c>
      <c r="B133" s="2" t="s">
        <v>112</v>
      </c>
      <c r="C133" s="2" t="str">
        <f>_xlfn.XLOOKUP(B133,appointments!$B$2:$B$201,appointments!$C$2:$C$201)</f>
        <v>D002</v>
      </c>
      <c r="D133" s="2" t="str">
        <f>_xlfn.XLOOKUP(C133,Doctor!$A$2:$A$11,Doctor!$D$2:$D$11)</f>
        <v>Jane Davis</v>
      </c>
      <c r="E133" s="2" t="s">
        <v>406</v>
      </c>
      <c r="F133" s="2" t="str">
        <f>_xlfn.XLOOKUP(E133,Treatment!$A:$A,Treatment!$C:$C)</f>
        <v>Physiotherapy</v>
      </c>
      <c r="G133" s="4">
        <v>45133</v>
      </c>
      <c r="H133" s="4" t="str">
        <f t="shared" si="3"/>
        <v>July-2023</v>
      </c>
      <c r="I133" s="2">
        <v>2929.81</v>
      </c>
      <c r="J133" s="2" t="s">
        <v>621</v>
      </c>
      <c r="K133" s="2" t="s">
        <v>619</v>
      </c>
    </row>
    <row r="134" spans="1:11" x14ac:dyDescent="0.3">
      <c r="A134" s="2" t="s">
        <v>750</v>
      </c>
      <c r="B134" s="2" t="s">
        <v>10</v>
      </c>
      <c r="C134" s="2" t="str">
        <f>_xlfn.XLOOKUP(B134,appointments!$B$2:$B$201,appointments!$C$2:$C$201)</f>
        <v>D004</v>
      </c>
      <c r="D134" s="2" t="str">
        <f>_xlfn.XLOOKUP(C134,Doctor!$A$2:$A$11,Doctor!$D$2:$D$11)</f>
        <v>David Jones</v>
      </c>
      <c r="E134" s="2" t="s">
        <v>407</v>
      </c>
      <c r="F134" s="2" t="str">
        <f>_xlfn.XLOOKUP(E134,Treatment!$A:$A,Treatment!$C:$C)</f>
        <v>Physiotherapy</v>
      </c>
      <c r="G134" s="4">
        <v>45008</v>
      </c>
      <c r="H134" s="4" t="str">
        <f t="shared" si="3"/>
        <v>March-2023</v>
      </c>
      <c r="I134" s="2">
        <v>4289.1499999999996</v>
      </c>
      <c r="J134" s="2" t="s">
        <v>613</v>
      </c>
      <c r="K134" s="2" t="s">
        <v>616</v>
      </c>
    </row>
    <row r="135" spans="1:11" x14ac:dyDescent="0.3">
      <c r="A135" s="2" t="s">
        <v>751</v>
      </c>
      <c r="B135" s="2" t="s">
        <v>14</v>
      </c>
      <c r="C135" s="2" t="str">
        <f>_xlfn.XLOOKUP(B135,appointments!$B$2:$B$201,appointments!$C$2:$C$201)</f>
        <v>D006</v>
      </c>
      <c r="D135" s="2" t="str">
        <f>_xlfn.XLOOKUP(C135,Doctor!$A$2:$A$11,Doctor!$D$2:$D$11)</f>
        <v>Alex Davis</v>
      </c>
      <c r="E135" s="2" t="s">
        <v>408</v>
      </c>
      <c r="F135" s="2" t="str">
        <f>_xlfn.XLOOKUP(E135,Treatment!$A:$A,Treatment!$C:$C)</f>
        <v>Physiotherapy</v>
      </c>
      <c r="G135" s="4">
        <v>45216</v>
      </c>
      <c r="H135" s="4" t="str">
        <f t="shared" si="3"/>
        <v>October-2023</v>
      </c>
      <c r="I135" s="2">
        <v>2844.31</v>
      </c>
      <c r="J135" s="2" t="s">
        <v>613</v>
      </c>
      <c r="K135" s="2" t="s">
        <v>619</v>
      </c>
    </row>
    <row r="136" spans="1:11" x14ac:dyDescent="0.3">
      <c r="A136" s="2" t="s">
        <v>752</v>
      </c>
      <c r="B136" s="2" t="s">
        <v>36</v>
      </c>
      <c r="C136" s="2" t="str">
        <f>_xlfn.XLOOKUP(B136,appointments!$B$2:$B$201,appointments!$C$2:$C$201)</f>
        <v>D007</v>
      </c>
      <c r="D136" s="2" t="str">
        <f>_xlfn.XLOOKUP(C136,Doctor!$A$2:$A$11,Doctor!$D$2:$D$11)</f>
        <v>Robert Davis</v>
      </c>
      <c r="E136" s="2" t="s">
        <v>409</v>
      </c>
      <c r="F136" s="2" t="str">
        <f>_xlfn.XLOOKUP(E136,Treatment!$A:$A,Treatment!$C:$C)</f>
        <v>MRI</v>
      </c>
      <c r="G136" s="4">
        <v>45178</v>
      </c>
      <c r="H136" s="4" t="str">
        <f t="shared" si="3"/>
        <v>September-2023</v>
      </c>
      <c r="I136" s="2">
        <v>3306.14</v>
      </c>
      <c r="J136" s="2" t="s">
        <v>621</v>
      </c>
      <c r="K136" s="2" t="s">
        <v>614</v>
      </c>
    </row>
    <row r="137" spans="1:11" x14ac:dyDescent="0.3">
      <c r="A137" s="2" t="s">
        <v>753</v>
      </c>
      <c r="B137" s="2" t="s">
        <v>135</v>
      </c>
      <c r="C137" s="2" t="str">
        <f>_xlfn.XLOOKUP(B137,appointments!$B$2:$B$201,appointments!$C$2:$C$201)</f>
        <v>D008</v>
      </c>
      <c r="D137" s="2" t="str">
        <f>_xlfn.XLOOKUP(C137,Doctor!$A$2:$A$11,Doctor!$D$2:$D$11)</f>
        <v>Linda Brown</v>
      </c>
      <c r="E137" s="2" t="s">
        <v>410</v>
      </c>
      <c r="F137" s="2" t="str">
        <f>_xlfn.XLOOKUP(E137,Treatment!$A:$A,Treatment!$C:$C)</f>
        <v>Chemotherapy</v>
      </c>
      <c r="G137" s="4">
        <v>45059</v>
      </c>
      <c r="H137" s="4" t="str">
        <f t="shared" si="3"/>
        <v>May-2023</v>
      </c>
      <c r="I137" s="2">
        <v>901.06</v>
      </c>
      <c r="J137" s="2" t="s">
        <v>621</v>
      </c>
      <c r="K137" s="2" t="s">
        <v>619</v>
      </c>
    </row>
    <row r="138" spans="1:11" x14ac:dyDescent="0.3">
      <c r="A138" s="2" t="s">
        <v>754</v>
      </c>
      <c r="B138" s="2" t="s">
        <v>93</v>
      </c>
      <c r="C138" s="2" t="str">
        <f>_xlfn.XLOOKUP(B138,appointments!$B$2:$B$201,appointments!$C$2:$C$201)</f>
        <v>D003</v>
      </c>
      <c r="D138" s="2" t="str">
        <f>_xlfn.XLOOKUP(C138,Doctor!$A$2:$A$11,Doctor!$D$2:$D$11)</f>
        <v>Jane Smith</v>
      </c>
      <c r="E138" s="2" t="s">
        <v>411</v>
      </c>
      <c r="F138" s="2" t="str">
        <f>_xlfn.XLOOKUP(E138,Treatment!$A:$A,Treatment!$C:$C)</f>
        <v>X-Ray</v>
      </c>
      <c r="G138" s="4">
        <v>45224</v>
      </c>
      <c r="H138" s="4" t="str">
        <f t="shared" si="3"/>
        <v>October-2023</v>
      </c>
      <c r="I138" s="2">
        <v>3898.72</v>
      </c>
      <c r="J138" s="2" t="s">
        <v>621</v>
      </c>
      <c r="K138" s="2" t="s">
        <v>614</v>
      </c>
    </row>
    <row r="139" spans="1:11" x14ac:dyDescent="0.3">
      <c r="A139" s="2" t="s">
        <v>755</v>
      </c>
      <c r="B139" s="2" t="s">
        <v>61</v>
      </c>
      <c r="C139" s="2" t="str">
        <f>_xlfn.XLOOKUP(B139,appointments!$B$2:$B$201,appointments!$C$2:$C$201)</f>
        <v>D008</v>
      </c>
      <c r="D139" s="2" t="str">
        <f>_xlfn.XLOOKUP(C139,Doctor!$A$2:$A$11,Doctor!$D$2:$D$11)</f>
        <v>Linda Brown</v>
      </c>
      <c r="E139" s="2" t="s">
        <v>412</v>
      </c>
      <c r="F139" s="2" t="str">
        <f>_xlfn.XLOOKUP(E139,Treatment!$A:$A,Treatment!$C:$C)</f>
        <v>X-Ray</v>
      </c>
      <c r="G139" s="4">
        <v>45286</v>
      </c>
      <c r="H139" s="4" t="str">
        <f t="shared" si="3"/>
        <v>December-2023</v>
      </c>
      <c r="I139" s="2">
        <v>1074.71</v>
      </c>
      <c r="J139" s="2" t="s">
        <v>624</v>
      </c>
      <c r="K139" s="2" t="s">
        <v>616</v>
      </c>
    </row>
    <row r="140" spans="1:11" x14ac:dyDescent="0.3">
      <c r="A140" s="2" t="s">
        <v>756</v>
      </c>
      <c r="B140" s="2" t="s">
        <v>77</v>
      </c>
      <c r="C140" s="2" t="str">
        <f>_xlfn.XLOOKUP(B140,appointments!$B$2:$B$201,appointments!$C$2:$C$201)</f>
        <v>D003</v>
      </c>
      <c r="D140" s="2" t="str">
        <f>_xlfn.XLOOKUP(C140,Doctor!$A$2:$A$11,Doctor!$D$2:$D$11)</f>
        <v>Jane Smith</v>
      </c>
      <c r="E140" s="2" t="s">
        <v>413</v>
      </c>
      <c r="F140" s="2" t="str">
        <f>_xlfn.XLOOKUP(E140,Treatment!$A:$A,Treatment!$C:$C)</f>
        <v>MRI</v>
      </c>
      <c r="G140" s="4">
        <v>45209</v>
      </c>
      <c r="H140" s="4" t="str">
        <f t="shared" si="3"/>
        <v>October-2023</v>
      </c>
      <c r="I140" s="2">
        <v>4217.3</v>
      </c>
      <c r="J140" s="2" t="s">
        <v>613</v>
      </c>
      <c r="K140" s="2" t="s">
        <v>614</v>
      </c>
    </row>
    <row r="141" spans="1:11" x14ac:dyDescent="0.3">
      <c r="A141" s="2" t="s">
        <v>757</v>
      </c>
      <c r="B141" s="2" t="s">
        <v>43</v>
      </c>
      <c r="C141" s="2" t="str">
        <f>_xlfn.XLOOKUP(B141,appointments!$B$2:$B$201,appointments!$C$2:$C$201)</f>
        <v>D010</v>
      </c>
      <c r="D141" s="2" t="str">
        <f>_xlfn.XLOOKUP(C141,Doctor!$A$2:$A$11,Doctor!$D$2:$D$11)</f>
        <v>Linda Wilson</v>
      </c>
      <c r="E141" s="2" t="s">
        <v>414</v>
      </c>
      <c r="F141" s="2" t="str">
        <f>_xlfn.XLOOKUP(E141,Treatment!$A:$A,Treatment!$C:$C)</f>
        <v>Physiotherapy</v>
      </c>
      <c r="G141" s="4">
        <v>44962</v>
      </c>
      <c r="H141" s="4" t="str">
        <f t="shared" si="3"/>
        <v>February-2023</v>
      </c>
      <c r="I141" s="2">
        <v>4019.13</v>
      </c>
      <c r="J141" s="2" t="s">
        <v>624</v>
      </c>
      <c r="K141" s="2" t="s">
        <v>614</v>
      </c>
    </row>
    <row r="142" spans="1:11" x14ac:dyDescent="0.3">
      <c r="A142" s="2" t="s">
        <v>758</v>
      </c>
      <c r="B142" s="2" t="s">
        <v>154</v>
      </c>
      <c r="C142" s="2" t="str">
        <f>_xlfn.XLOOKUP(B142,appointments!$B$2:$B$201,appointments!$C$2:$C$201)</f>
        <v>D002</v>
      </c>
      <c r="D142" s="2" t="str">
        <f>_xlfn.XLOOKUP(C142,Doctor!$A$2:$A$11,Doctor!$D$2:$D$11)</f>
        <v>Jane Davis</v>
      </c>
      <c r="E142" s="2" t="s">
        <v>415</v>
      </c>
      <c r="F142" s="2" t="str">
        <f>_xlfn.XLOOKUP(E142,Treatment!$A:$A,Treatment!$C:$C)</f>
        <v>ECG</v>
      </c>
      <c r="G142" s="4">
        <v>45092</v>
      </c>
      <c r="H142" s="4" t="str">
        <f t="shared" si="3"/>
        <v>June-2023</v>
      </c>
      <c r="I142" s="2">
        <v>3689.35</v>
      </c>
      <c r="J142" s="2" t="s">
        <v>613</v>
      </c>
      <c r="K142" s="2" t="s">
        <v>614</v>
      </c>
    </row>
    <row r="143" spans="1:11" x14ac:dyDescent="0.3">
      <c r="A143" s="2" t="s">
        <v>759</v>
      </c>
      <c r="B143" s="2" t="s">
        <v>93</v>
      </c>
      <c r="C143" s="2" t="str">
        <f>_xlfn.XLOOKUP(B143,appointments!$B$2:$B$201,appointments!$C$2:$C$201)</f>
        <v>D003</v>
      </c>
      <c r="D143" s="2" t="str">
        <f>_xlfn.XLOOKUP(C143,Doctor!$A$2:$A$11,Doctor!$D$2:$D$11)</f>
        <v>Jane Smith</v>
      </c>
      <c r="E143" s="2" t="s">
        <v>416</v>
      </c>
      <c r="F143" s="2" t="str">
        <f>_xlfn.XLOOKUP(E143,Treatment!$A:$A,Treatment!$C:$C)</f>
        <v>MRI</v>
      </c>
      <c r="G143" s="4">
        <v>45231</v>
      </c>
      <c r="H143" s="4" t="str">
        <f t="shared" si="3"/>
        <v>November-2023</v>
      </c>
      <c r="I143" s="2">
        <v>662.72</v>
      </c>
      <c r="J143" s="2" t="s">
        <v>613</v>
      </c>
      <c r="K143" s="2" t="s">
        <v>616</v>
      </c>
    </row>
    <row r="144" spans="1:11" x14ac:dyDescent="0.3">
      <c r="A144" s="2" t="s">
        <v>760</v>
      </c>
      <c r="B144" s="2" t="s">
        <v>43</v>
      </c>
      <c r="C144" s="2" t="str">
        <f>_xlfn.XLOOKUP(B144,appointments!$B$2:$B$201,appointments!$C$2:$C$201)</f>
        <v>D010</v>
      </c>
      <c r="D144" s="2" t="str">
        <f>_xlfn.XLOOKUP(C144,Doctor!$A$2:$A$11,Doctor!$D$2:$D$11)</f>
        <v>Linda Wilson</v>
      </c>
      <c r="E144" s="2" t="s">
        <v>417</v>
      </c>
      <c r="F144" s="2" t="str">
        <f>_xlfn.XLOOKUP(E144,Treatment!$A:$A,Treatment!$C:$C)</f>
        <v>MRI</v>
      </c>
      <c r="G144" s="4">
        <v>45190</v>
      </c>
      <c r="H144" s="4" t="str">
        <f t="shared" si="3"/>
        <v>September-2023</v>
      </c>
      <c r="I144" s="2">
        <v>1864.08</v>
      </c>
      <c r="J144" s="2" t="s">
        <v>613</v>
      </c>
      <c r="K144" s="2" t="s">
        <v>619</v>
      </c>
    </row>
    <row r="145" spans="1:11" x14ac:dyDescent="0.3">
      <c r="A145" s="2" t="s">
        <v>761</v>
      </c>
      <c r="B145" s="2" t="s">
        <v>170</v>
      </c>
      <c r="C145" s="2" t="str">
        <f>_xlfn.XLOOKUP(B145,appointments!$B$2:$B$201,appointments!$C$2:$C$201)</f>
        <v>D007</v>
      </c>
      <c r="D145" s="2" t="str">
        <f>_xlfn.XLOOKUP(C145,Doctor!$A$2:$A$11,Doctor!$D$2:$D$11)</f>
        <v>Robert Davis</v>
      </c>
      <c r="E145" s="2" t="s">
        <v>418</v>
      </c>
      <c r="F145" s="2" t="str">
        <f>_xlfn.XLOOKUP(E145,Treatment!$A:$A,Treatment!$C:$C)</f>
        <v>Chemotherapy</v>
      </c>
      <c r="G145" s="4">
        <v>45154</v>
      </c>
      <c r="H145" s="4" t="str">
        <f t="shared" si="3"/>
        <v>August-2023</v>
      </c>
      <c r="I145" s="2">
        <v>1684.01</v>
      </c>
      <c r="J145" s="2" t="s">
        <v>613</v>
      </c>
      <c r="K145" s="2" t="s">
        <v>619</v>
      </c>
    </row>
    <row r="146" spans="1:11" x14ac:dyDescent="0.3">
      <c r="A146" s="2" t="s">
        <v>762</v>
      </c>
      <c r="B146" s="2" t="s">
        <v>156</v>
      </c>
      <c r="C146" s="2" t="str">
        <f>_xlfn.XLOOKUP(B146,appointments!$B$2:$B$201,appointments!$C$2:$C$201)</f>
        <v>D009</v>
      </c>
      <c r="D146" s="2" t="str">
        <f>_xlfn.XLOOKUP(C146,Doctor!$A$2:$A$11,Doctor!$D$2:$D$11)</f>
        <v>Sarah Smith</v>
      </c>
      <c r="E146" s="2" t="s">
        <v>419</v>
      </c>
      <c r="F146" s="2" t="str">
        <f>_xlfn.XLOOKUP(E146,Treatment!$A:$A,Treatment!$C:$C)</f>
        <v>X-Ray</v>
      </c>
      <c r="G146" s="4">
        <v>45241</v>
      </c>
      <c r="H146" s="4" t="str">
        <f t="shared" si="3"/>
        <v>November-2023</v>
      </c>
      <c r="I146" s="2">
        <v>2120.61</v>
      </c>
      <c r="J146" s="2" t="s">
        <v>613</v>
      </c>
      <c r="K146" s="2" t="s">
        <v>616</v>
      </c>
    </row>
    <row r="147" spans="1:11" x14ac:dyDescent="0.3">
      <c r="A147" s="2" t="s">
        <v>763</v>
      </c>
      <c r="B147" s="2" t="s">
        <v>56</v>
      </c>
      <c r="C147" s="2" t="str">
        <f>_xlfn.XLOOKUP(B147,appointments!$B$2:$B$201,appointments!$C$2:$C$201)</f>
        <v>D009</v>
      </c>
      <c r="D147" s="2" t="str">
        <f>_xlfn.XLOOKUP(C147,Doctor!$A$2:$A$11,Doctor!$D$2:$D$11)</f>
        <v>Sarah Smith</v>
      </c>
      <c r="E147" s="2" t="s">
        <v>420</v>
      </c>
      <c r="F147" s="2" t="str">
        <f>_xlfn.XLOOKUP(E147,Treatment!$A:$A,Treatment!$C:$C)</f>
        <v>MRI</v>
      </c>
      <c r="G147" s="4">
        <v>44931</v>
      </c>
      <c r="H147" s="4" t="str">
        <f t="shared" si="3"/>
        <v>January-2023</v>
      </c>
      <c r="I147" s="2">
        <v>894.39</v>
      </c>
      <c r="J147" s="2" t="s">
        <v>613</v>
      </c>
      <c r="K147" s="2" t="s">
        <v>614</v>
      </c>
    </row>
    <row r="148" spans="1:11" x14ac:dyDescent="0.3">
      <c r="A148" s="2" t="s">
        <v>764</v>
      </c>
      <c r="B148" s="2" t="s">
        <v>54</v>
      </c>
      <c r="C148" s="2" t="str">
        <f>_xlfn.XLOOKUP(B148,appointments!$B$2:$B$201,appointments!$C$2:$C$201)</f>
        <v>D003</v>
      </c>
      <c r="D148" s="2" t="str">
        <f>_xlfn.XLOOKUP(C148,Doctor!$A$2:$A$11,Doctor!$D$2:$D$11)</f>
        <v>Jane Smith</v>
      </c>
      <c r="E148" s="2" t="s">
        <v>421</v>
      </c>
      <c r="F148" s="2" t="str">
        <f>_xlfn.XLOOKUP(E148,Treatment!$A:$A,Treatment!$C:$C)</f>
        <v>MRI</v>
      </c>
      <c r="G148" s="4">
        <v>45243</v>
      </c>
      <c r="H148" s="4" t="str">
        <f t="shared" si="3"/>
        <v>November-2023</v>
      </c>
      <c r="I148" s="2">
        <v>4716.3100000000004</v>
      </c>
      <c r="J148" s="2" t="s">
        <v>613</v>
      </c>
      <c r="K148" s="2" t="s">
        <v>619</v>
      </c>
    </row>
    <row r="149" spans="1:11" x14ac:dyDescent="0.3">
      <c r="A149" s="2" t="s">
        <v>765</v>
      </c>
      <c r="B149" s="2" t="s">
        <v>90</v>
      </c>
      <c r="C149" s="2" t="str">
        <f>_xlfn.XLOOKUP(B149,appointments!$B$2:$B$201,appointments!$C$2:$C$201)</f>
        <v>D006</v>
      </c>
      <c r="D149" s="2" t="str">
        <f>_xlfn.XLOOKUP(C149,Doctor!$A$2:$A$11,Doctor!$D$2:$D$11)</f>
        <v>Alex Davis</v>
      </c>
      <c r="E149" s="2" t="s">
        <v>422</v>
      </c>
      <c r="F149" s="2" t="str">
        <f>_xlfn.XLOOKUP(E149,Treatment!$A:$A,Treatment!$C:$C)</f>
        <v>Physiotherapy</v>
      </c>
      <c r="G149" s="4">
        <v>45266</v>
      </c>
      <c r="H149" s="4" t="str">
        <f t="shared" si="3"/>
        <v>December-2023</v>
      </c>
      <c r="I149" s="2">
        <v>2992.11</v>
      </c>
      <c r="J149" s="2" t="s">
        <v>624</v>
      </c>
      <c r="K149" s="2" t="s">
        <v>616</v>
      </c>
    </row>
    <row r="150" spans="1:11" x14ac:dyDescent="0.3">
      <c r="A150" s="2" t="s">
        <v>766</v>
      </c>
      <c r="B150" s="2" t="s">
        <v>93</v>
      </c>
      <c r="C150" s="2" t="str">
        <f>_xlfn.XLOOKUP(B150,appointments!$B$2:$B$201,appointments!$C$2:$C$201)</f>
        <v>D003</v>
      </c>
      <c r="D150" s="2" t="str">
        <f>_xlfn.XLOOKUP(C150,Doctor!$A$2:$A$11,Doctor!$D$2:$D$11)</f>
        <v>Jane Smith</v>
      </c>
      <c r="E150" s="2" t="s">
        <v>423</v>
      </c>
      <c r="F150" s="2" t="str">
        <f>_xlfn.XLOOKUP(E150,Treatment!$A:$A,Treatment!$C:$C)</f>
        <v>Physiotherapy</v>
      </c>
      <c r="G150" s="4">
        <v>45133</v>
      </c>
      <c r="H150" s="4" t="str">
        <f t="shared" si="3"/>
        <v>July-2023</v>
      </c>
      <c r="I150" s="2">
        <v>1874.86</v>
      </c>
      <c r="J150" s="2" t="s">
        <v>621</v>
      </c>
      <c r="K150" s="2" t="s">
        <v>619</v>
      </c>
    </row>
    <row r="151" spans="1:11" x14ac:dyDescent="0.3">
      <c r="A151" s="2" t="s">
        <v>767</v>
      </c>
      <c r="B151" s="2" t="s">
        <v>59</v>
      </c>
      <c r="C151" s="2" t="str">
        <f>_xlfn.XLOOKUP(B151,appointments!$B$2:$B$201,appointments!$C$2:$C$201)</f>
        <v>D009</v>
      </c>
      <c r="D151" s="2" t="str">
        <f>_xlfn.XLOOKUP(C151,Doctor!$A$2:$A$11,Doctor!$D$2:$D$11)</f>
        <v>Sarah Smith</v>
      </c>
      <c r="E151" s="2" t="s">
        <v>424</v>
      </c>
      <c r="F151" s="2" t="str">
        <f>_xlfn.XLOOKUP(E151,Treatment!$A:$A,Treatment!$C:$C)</f>
        <v>ECG</v>
      </c>
      <c r="G151" s="4">
        <v>45154</v>
      </c>
      <c r="H151" s="4" t="str">
        <f t="shared" si="3"/>
        <v>August-2023</v>
      </c>
      <c r="I151" s="2">
        <v>2286.42</v>
      </c>
      <c r="J151" s="2" t="s">
        <v>621</v>
      </c>
      <c r="K151" s="2" t="s">
        <v>616</v>
      </c>
    </row>
    <row r="152" spans="1:11" x14ac:dyDescent="0.3">
      <c r="A152" s="2" t="s">
        <v>768</v>
      </c>
      <c r="B152" s="2" t="s">
        <v>27</v>
      </c>
      <c r="C152" s="2" t="str">
        <f>_xlfn.XLOOKUP(B152,appointments!$B$2:$B$201,appointments!$C$2:$C$201)</f>
        <v>D010</v>
      </c>
      <c r="D152" s="2" t="str">
        <f>_xlfn.XLOOKUP(C152,Doctor!$A$2:$A$11,Doctor!$D$2:$D$11)</f>
        <v>Linda Wilson</v>
      </c>
      <c r="E152" s="2" t="s">
        <v>425</v>
      </c>
      <c r="F152" s="2" t="str">
        <f>_xlfn.XLOOKUP(E152,Treatment!$A:$A,Treatment!$C:$C)</f>
        <v>Chemotherapy</v>
      </c>
      <c r="G152" s="4">
        <v>44954</v>
      </c>
      <c r="H152" s="4" t="str">
        <f t="shared" si="3"/>
        <v>January-2023</v>
      </c>
      <c r="I152" s="2">
        <v>2512.41</v>
      </c>
      <c r="J152" s="2" t="s">
        <v>624</v>
      </c>
      <c r="K152" s="2" t="s">
        <v>614</v>
      </c>
    </row>
    <row r="153" spans="1:11" x14ac:dyDescent="0.3">
      <c r="A153" s="2" t="s">
        <v>769</v>
      </c>
      <c r="B153" s="2" t="s">
        <v>33</v>
      </c>
      <c r="C153" s="2" t="str">
        <f>_xlfn.XLOOKUP(B153,appointments!$B$2:$B$201,appointments!$C$2:$C$201)</f>
        <v>D003</v>
      </c>
      <c r="D153" s="2" t="str">
        <f>_xlfn.XLOOKUP(C153,Doctor!$A$2:$A$11,Doctor!$D$2:$D$11)</f>
        <v>Jane Smith</v>
      </c>
      <c r="E153" s="2" t="s">
        <v>426</v>
      </c>
      <c r="F153" s="2" t="str">
        <f>_xlfn.XLOOKUP(E153,Treatment!$A:$A,Treatment!$C:$C)</f>
        <v>ECG</v>
      </c>
      <c r="G153" s="4">
        <v>45030</v>
      </c>
      <c r="H153" s="4" t="str">
        <f t="shared" si="3"/>
        <v>April-2023</v>
      </c>
      <c r="I153" s="2">
        <v>3202.67</v>
      </c>
      <c r="J153" s="2" t="s">
        <v>624</v>
      </c>
      <c r="K153" s="2" t="s">
        <v>619</v>
      </c>
    </row>
    <row r="154" spans="1:11" x14ac:dyDescent="0.3">
      <c r="A154" s="2" t="s">
        <v>770</v>
      </c>
      <c r="B154" s="2" t="s">
        <v>118</v>
      </c>
      <c r="C154" s="2" t="str">
        <f>_xlfn.XLOOKUP(B154,appointments!$B$2:$B$201,appointments!$C$2:$C$201)</f>
        <v>D006</v>
      </c>
      <c r="D154" s="2" t="str">
        <f>_xlfn.XLOOKUP(C154,Doctor!$A$2:$A$11,Doctor!$D$2:$D$11)</f>
        <v>Alex Davis</v>
      </c>
      <c r="E154" s="2" t="s">
        <v>427</v>
      </c>
      <c r="F154" s="2" t="str">
        <f>_xlfn.XLOOKUP(E154,Treatment!$A:$A,Treatment!$C:$C)</f>
        <v>Physiotherapy</v>
      </c>
      <c r="G154" s="4">
        <v>45115</v>
      </c>
      <c r="H154" s="4" t="str">
        <f t="shared" si="3"/>
        <v>July-2023</v>
      </c>
      <c r="I154" s="2">
        <v>2820.56</v>
      </c>
      <c r="J154" s="2" t="s">
        <v>624</v>
      </c>
      <c r="K154" s="2" t="s">
        <v>616</v>
      </c>
    </row>
    <row r="155" spans="1:11" x14ac:dyDescent="0.3">
      <c r="A155" s="2" t="s">
        <v>771</v>
      </c>
      <c r="B155" s="2" t="s">
        <v>43</v>
      </c>
      <c r="C155" s="2" t="str">
        <f>_xlfn.XLOOKUP(B155,appointments!$B$2:$B$201,appointments!$C$2:$C$201)</f>
        <v>D010</v>
      </c>
      <c r="D155" s="2" t="str">
        <f>_xlfn.XLOOKUP(C155,Doctor!$A$2:$A$11,Doctor!$D$2:$D$11)</f>
        <v>Linda Wilson</v>
      </c>
      <c r="E155" s="2" t="s">
        <v>428</v>
      </c>
      <c r="F155" s="2" t="str">
        <f>_xlfn.XLOOKUP(E155,Treatment!$A:$A,Treatment!$C:$C)</f>
        <v>X-Ray</v>
      </c>
      <c r="G155" s="4">
        <v>44991</v>
      </c>
      <c r="H155" s="4" t="str">
        <f t="shared" si="3"/>
        <v>March-2023</v>
      </c>
      <c r="I155" s="2">
        <v>4637.26</v>
      </c>
      <c r="J155" s="2" t="s">
        <v>624</v>
      </c>
      <c r="K155" s="2" t="s">
        <v>619</v>
      </c>
    </row>
    <row r="156" spans="1:11" x14ac:dyDescent="0.3">
      <c r="A156" s="2" t="s">
        <v>772</v>
      </c>
      <c r="B156" s="2" t="s">
        <v>14</v>
      </c>
      <c r="C156" s="2" t="str">
        <f>_xlfn.XLOOKUP(B156,appointments!$B$2:$B$201,appointments!$C$2:$C$201)</f>
        <v>D006</v>
      </c>
      <c r="D156" s="2" t="str">
        <f>_xlfn.XLOOKUP(C156,Doctor!$A$2:$A$11,Doctor!$D$2:$D$11)</f>
        <v>Alex Davis</v>
      </c>
      <c r="E156" s="2" t="s">
        <v>429</v>
      </c>
      <c r="F156" s="2" t="str">
        <f>_xlfn.XLOOKUP(E156,Treatment!$A:$A,Treatment!$C:$C)</f>
        <v>Physiotherapy</v>
      </c>
      <c r="G156" s="4">
        <v>44929</v>
      </c>
      <c r="H156" s="4" t="str">
        <f t="shared" si="3"/>
        <v>January-2023</v>
      </c>
      <c r="I156" s="2">
        <v>2736.34</v>
      </c>
      <c r="J156" s="2" t="s">
        <v>613</v>
      </c>
      <c r="K156" s="2" t="s">
        <v>619</v>
      </c>
    </row>
    <row r="157" spans="1:11" x14ac:dyDescent="0.3">
      <c r="A157" s="2" t="s">
        <v>773</v>
      </c>
      <c r="B157" s="2" t="s">
        <v>74</v>
      </c>
      <c r="C157" s="2" t="str">
        <f>_xlfn.XLOOKUP(B157,appointments!$B$2:$B$201,appointments!$C$2:$C$201)</f>
        <v>D005</v>
      </c>
      <c r="D157" s="2" t="str">
        <f>_xlfn.XLOOKUP(C157,Doctor!$A$2:$A$11,Doctor!$D$2:$D$11)</f>
        <v>Sarah Taylor</v>
      </c>
      <c r="E157" s="2" t="s">
        <v>430</v>
      </c>
      <c r="F157" s="2" t="str">
        <f>_xlfn.XLOOKUP(E157,Treatment!$A:$A,Treatment!$C:$C)</f>
        <v>Chemotherapy</v>
      </c>
      <c r="G157" s="4">
        <v>45252</v>
      </c>
      <c r="H157" s="4" t="str">
        <f t="shared" si="3"/>
        <v>November-2023</v>
      </c>
      <c r="I157" s="2">
        <v>4964.71</v>
      </c>
      <c r="J157" s="2" t="s">
        <v>621</v>
      </c>
      <c r="K157" s="2" t="s">
        <v>619</v>
      </c>
    </row>
    <row r="158" spans="1:11" x14ac:dyDescent="0.3">
      <c r="A158" s="2" t="s">
        <v>774</v>
      </c>
      <c r="B158" s="2" t="s">
        <v>77</v>
      </c>
      <c r="C158" s="2" t="str">
        <f>_xlfn.XLOOKUP(B158,appointments!$B$2:$B$201,appointments!$C$2:$C$201)</f>
        <v>D003</v>
      </c>
      <c r="D158" s="2" t="str">
        <f>_xlfn.XLOOKUP(C158,Doctor!$A$2:$A$11,Doctor!$D$2:$D$11)</f>
        <v>Jane Smith</v>
      </c>
      <c r="E158" s="2" t="s">
        <v>431</v>
      </c>
      <c r="F158" s="2" t="str">
        <f>_xlfn.XLOOKUP(E158,Treatment!$A:$A,Treatment!$C:$C)</f>
        <v>Physiotherapy</v>
      </c>
      <c r="G158" s="4">
        <v>45058</v>
      </c>
      <c r="H158" s="4" t="str">
        <f t="shared" si="3"/>
        <v>May-2023</v>
      </c>
      <c r="I158" s="2">
        <v>4331.41</v>
      </c>
      <c r="J158" s="2" t="s">
        <v>613</v>
      </c>
      <c r="K158" s="2" t="s">
        <v>619</v>
      </c>
    </row>
    <row r="159" spans="1:11" x14ac:dyDescent="0.3">
      <c r="A159" s="2" t="s">
        <v>775</v>
      </c>
      <c r="B159" s="2" t="s">
        <v>83</v>
      </c>
      <c r="C159" s="2" t="str">
        <f>_xlfn.XLOOKUP(B159,appointments!$B$2:$B$201,appointments!$C$2:$C$201)</f>
        <v>D002</v>
      </c>
      <c r="D159" s="2" t="str">
        <f>_xlfn.XLOOKUP(C159,Doctor!$A$2:$A$11,Doctor!$D$2:$D$11)</f>
        <v>Jane Davis</v>
      </c>
      <c r="E159" s="2" t="s">
        <v>432</v>
      </c>
      <c r="F159" s="2" t="str">
        <f>_xlfn.XLOOKUP(E159,Treatment!$A:$A,Treatment!$C:$C)</f>
        <v>Chemotherapy</v>
      </c>
      <c r="G159" s="4">
        <v>45119</v>
      </c>
      <c r="H159" s="4" t="str">
        <f t="shared" si="3"/>
        <v>July-2023</v>
      </c>
      <c r="I159" s="2">
        <v>1438.3</v>
      </c>
      <c r="J159" s="2" t="s">
        <v>621</v>
      </c>
      <c r="K159" s="2" t="s">
        <v>616</v>
      </c>
    </row>
    <row r="160" spans="1:11" x14ac:dyDescent="0.3">
      <c r="A160" s="2" t="s">
        <v>776</v>
      </c>
      <c r="B160" s="2" t="s">
        <v>27</v>
      </c>
      <c r="C160" s="2" t="str">
        <f>_xlfn.XLOOKUP(B160,appointments!$B$2:$B$201,appointments!$C$2:$C$201)</f>
        <v>D010</v>
      </c>
      <c r="D160" s="2" t="str">
        <f>_xlfn.XLOOKUP(C160,Doctor!$A$2:$A$11,Doctor!$D$2:$D$11)</f>
        <v>Linda Wilson</v>
      </c>
      <c r="E160" s="2" t="s">
        <v>433</v>
      </c>
      <c r="F160" s="2" t="str">
        <f>_xlfn.XLOOKUP(E160,Treatment!$A:$A,Treatment!$C:$C)</f>
        <v>Chemotherapy</v>
      </c>
      <c r="G160" s="4">
        <v>45024</v>
      </c>
      <c r="H160" s="4" t="str">
        <f t="shared" si="3"/>
        <v>April-2023</v>
      </c>
      <c r="I160" s="2">
        <v>4687.68</v>
      </c>
      <c r="J160" s="2" t="s">
        <v>621</v>
      </c>
      <c r="K160" s="2" t="s">
        <v>614</v>
      </c>
    </row>
    <row r="161" spans="1:11" x14ac:dyDescent="0.3">
      <c r="A161" s="2" t="s">
        <v>777</v>
      </c>
      <c r="B161" s="2" t="s">
        <v>30</v>
      </c>
      <c r="C161" s="2" t="str">
        <f>_xlfn.XLOOKUP(B161,appointments!$B$2:$B$201,appointments!$C$2:$C$201)</f>
        <v>D010</v>
      </c>
      <c r="D161" s="2" t="str">
        <f>_xlfn.XLOOKUP(C161,Doctor!$A$2:$A$11,Doctor!$D$2:$D$11)</f>
        <v>Linda Wilson</v>
      </c>
      <c r="E161" s="2" t="s">
        <v>434</v>
      </c>
      <c r="F161" s="2" t="str">
        <f>_xlfn.XLOOKUP(E161,Treatment!$A:$A,Treatment!$C:$C)</f>
        <v>Chemotherapy</v>
      </c>
      <c r="G161" s="4">
        <v>45277</v>
      </c>
      <c r="H161" s="4" t="str">
        <f t="shared" si="3"/>
        <v>December-2023</v>
      </c>
      <c r="I161" s="2">
        <v>1023.65</v>
      </c>
      <c r="J161" s="2" t="s">
        <v>624</v>
      </c>
      <c r="K161" s="2" t="s">
        <v>616</v>
      </c>
    </row>
    <row r="162" spans="1:11" x14ac:dyDescent="0.3">
      <c r="A162" s="2" t="s">
        <v>778</v>
      </c>
      <c r="B162" s="2" t="s">
        <v>21</v>
      </c>
      <c r="C162" s="2" t="str">
        <f>_xlfn.XLOOKUP(B162,appointments!$B$2:$B$201,appointments!$C$2:$C$201)</f>
        <v>D006</v>
      </c>
      <c r="D162" s="2" t="str">
        <f>_xlfn.XLOOKUP(C162,Doctor!$A$2:$A$11,Doctor!$D$2:$D$11)</f>
        <v>Alex Davis</v>
      </c>
      <c r="E162" s="2" t="s">
        <v>435</v>
      </c>
      <c r="F162" s="2" t="str">
        <f>_xlfn.XLOOKUP(E162,Treatment!$A:$A,Treatment!$C:$C)</f>
        <v>Chemotherapy</v>
      </c>
      <c r="G162" s="4">
        <v>45094</v>
      </c>
      <c r="H162" s="4" t="str">
        <f t="shared" si="3"/>
        <v>June-2023</v>
      </c>
      <c r="I162" s="2">
        <v>4178.5200000000004</v>
      </c>
      <c r="J162" s="2" t="s">
        <v>613</v>
      </c>
      <c r="K162" s="2" t="s">
        <v>616</v>
      </c>
    </row>
    <row r="163" spans="1:11" x14ac:dyDescent="0.3">
      <c r="A163" s="2" t="s">
        <v>779</v>
      </c>
      <c r="B163" s="2" t="s">
        <v>227</v>
      </c>
      <c r="C163" s="2" t="str">
        <f>_xlfn.XLOOKUP(B163,appointments!$B$2:$B$201,appointments!$C$2:$C$201)</f>
        <v>D004</v>
      </c>
      <c r="D163" s="2" t="str">
        <f>_xlfn.XLOOKUP(C163,Doctor!$A$2:$A$11,Doctor!$D$2:$D$11)</f>
        <v>David Jones</v>
      </c>
      <c r="E163" s="2" t="s">
        <v>436</v>
      </c>
      <c r="F163" s="2" t="str">
        <f>_xlfn.XLOOKUP(E163,Treatment!$A:$A,Treatment!$C:$C)</f>
        <v>Chemotherapy</v>
      </c>
      <c r="G163" s="4">
        <v>44927</v>
      </c>
      <c r="H163" s="4" t="str">
        <f t="shared" si="3"/>
        <v>January-2023</v>
      </c>
      <c r="I163" s="2">
        <v>2212.8000000000002</v>
      </c>
      <c r="J163" s="2" t="s">
        <v>624</v>
      </c>
      <c r="K163" s="2" t="s">
        <v>616</v>
      </c>
    </row>
    <row r="164" spans="1:11" x14ac:dyDescent="0.3">
      <c r="A164" s="2" t="s">
        <v>780</v>
      </c>
      <c r="B164" s="2" t="s">
        <v>30</v>
      </c>
      <c r="C164" s="2" t="str">
        <f>_xlfn.XLOOKUP(B164,appointments!$B$2:$B$201,appointments!$C$2:$C$201)</f>
        <v>D010</v>
      </c>
      <c r="D164" s="2" t="str">
        <f>_xlfn.XLOOKUP(C164,Doctor!$A$2:$A$11,Doctor!$D$2:$D$11)</f>
        <v>Linda Wilson</v>
      </c>
      <c r="E164" s="2" t="s">
        <v>437</v>
      </c>
      <c r="F164" s="2" t="str">
        <f>_xlfn.XLOOKUP(E164,Treatment!$A:$A,Treatment!$C:$C)</f>
        <v>X-Ray</v>
      </c>
      <c r="G164" s="4">
        <v>45104</v>
      </c>
      <c r="H164" s="4" t="str">
        <f t="shared" si="3"/>
        <v>June-2023</v>
      </c>
      <c r="I164" s="2">
        <v>4450.88</v>
      </c>
      <c r="J164" s="2" t="s">
        <v>613</v>
      </c>
      <c r="K164" s="2" t="s">
        <v>614</v>
      </c>
    </row>
    <row r="165" spans="1:11" x14ac:dyDescent="0.3">
      <c r="A165" s="2" t="s">
        <v>781</v>
      </c>
      <c r="B165" s="2" t="s">
        <v>54</v>
      </c>
      <c r="C165" s="2" t="str">
        <f>_xlfn.XLOOKUP(B165,appointments!$B$2:$B$201,appointments!$C$2:$C$201)</f>
        <v>D003</v>
      </c>
      <c r="D165" s="2" t="str">
        <f>_xlfn.XLOOKUP(C165,Doctor!$A$2:$A$11,Doctor!$D$2:$D$11)</f>
        <v>Jane Smith</v>
      </c>
      <c r="E165" s="2" t="s">
        <v>438</v>
      </c>
      <c r="F165" s="2" t="str">
        <f>_xlfn.XLOOKUP(E165,Treatment!$A:$A,Treatment!$C:$C)</f>
        <v>ECG</v>
      </c>
      <c r="G165" s="4">
        <v>45135</v>
      </c>
      <c r="H165" s="4" t="str">
        <f t="shared" si="3"/>
        <v>July-2023</v>
      </c>
      <c r="I165" s="2">
        <v>4406.26</v>
      </c>
      <c r="J165" s="2" t="s">
        <v>621</v>
      </c>
      <c r="K165" s="2" t="s">
        <v>619</v>
      </c>
    </row>
    <row r="166" spans="1:11" x14ac:dyDescent="0.3">
      <c r="A166" s="2" t="s">
        <v>782</v>
      </c>
      <c r="B166" s="2" t="s">
        <v>90</v>
      </c>
      <c r="C166" s="2" t="str">
        <f>_xlfn.XLOOKUP(B166,appointments!$B$2:$B$201,appointments!$C$2:$C$201)</f>
        <v>D006</v>
      </c>
      <c r="D166" s="2" t="str">
        <f>_xlfn.XLOOKUP(C166,Doctor!$A$2:$A$11,Doctor!$D$2:$D$11)</f>
        <v>Alex Davis</v>
      </c>
      <c r="E166" s="2" t="s">
        <v>439</v>
      </c>
      <c r="F166" s="2" t="str">
        <f>_xlfn.XLOOKUP(E166,Treatment!$A:$A,Treatment!$C:$C)</f>
        <v>MRI</v>
      </c>
      <c r="G166" s="4">
        <v>45020</v>
      </c>
      <c r="H166" s="4" t="str">
        <f t="shared" si="3"/>
        <v>April-2023</v>
      </c>
      <c r="I166" s="2">
        <v>4126.66</v>
      </c>
      <c r="J166" s="2" t="s">
        <v>624</v>
      </c>
      <c r="K166" s="2" t="s">
        <v>619</v>
      </c>
    </row>
    <row r="167" spans="1:11" x14ac:dyDescent="0.3">
      <c r="A167" s="2" t="s">
        <v>783</v>
      </c>
      <c r="B167" s="2" t="s">
        <v>33</v>
      </c>
      <c r="C167" s="2" t="str">
        <f>_xlfn.XLOOKUP(B167,appointments!$B$2:$B$201,appointments!$C$2:$C$201)</f>
        <v>D003</v>
      </c>
      <c r="D167" s="2" t="str">
        <f>_xlfn.XLOOKUP(C167,Doctor!$A$2:$A$11,Doctor!$D$2:$D$11)</f>
        <v>Jane Smith</v>
      </c>
      <c r="E167" s="2" t="s">
        <v>440</v>
      </c>
      <c r="F167" s="2" t="str">
        <f>_xlfn.XLOOKUP(E167,Treatment!$A:$A,Treatment!$C:$C)</f>
        <v>ECG</v>
      </c>
      <c r="G167" s="4">
        <v>44938</v>
      </c>
      <c r="H167" s="4" t="str">
        <f t="shared" si="3"/>
        <v>January-2023</v>
      </c>
      <c r="I167" s="2">
        <v>4055.14</v>
      </c>
      <c r="J167" s="2" t="s">
        <v>624</v>
      </c>
      <c r="K167" s="2" t="s">
        <v>619</v>
      </c>
    </row>
    <row r="168" spans="1:11" x14ac:dyDescent="0.3">
      <c r="A168" s="2" t="s">
        <v>784</v>
      </c>
      <c r="B168" s="2" t="s">
        <v>118</v>
      </c>
      <c r="C168" s="2" t="str">
        <f>_xlfn.XLOOKUP(B168,appointments!$B$2:$B$201,appointments!$C$2:$C$201)</f>
        <v>D006</v>
      </c>
      <c r="D168" s="2" t="str">
        <f>_xlfn.XLOOKUP(C168,Doctor!$A$2:$A$11,Doctor!$D$2:$D$11)</f>
        <v>Alex Davis</v>
      </c>
      <c r="E168" s="2" t="s">
        <v>441</v>
      </c>
      <c r="F168" s="2" t="str">
        <f>_xlfn.XLOOKUP(E168,Treatment!$A:$A,Treatment!$C:$C)</f>
        <v>Chemotherapy</v>
      </c>
      <c r="G168" s="4">
        <v>45245</v>
      </c>
      <c r="H168" s="4" t="str">
        <f t="shared" si="3"/>
        <v>November-2023</v>
      </c>
      <c r="I168" s="2">
        <v>1871.06</v>
      </c>
      <c r="J168" s="2" t="s">
        <v>621</v>
      </c>
      <c r="K168" s="2" t="s">
        <v>614</v>
      </c>
    </row>
    <row r="169" spans="1:11" x14ac:dyDescent="0.3">
      <c r="A169" s="2" t="s">
        <v>785</v>
      </c>
      <c r="B169" s="2" t="s">
        <v>83</v>
      </c>
      <c r="C169" s="2" t="str">
        <f>_xlfn.XLOOKUP(B169,appointments!$B$2:$B$201,appointments!$C$2:$C$201)</f>
        <v>D002</v>
      </c>
      <c r="D169" s="2" t="str">
        <f>_xlfn.XLOOKUP(C169,Doctor!$A$2:$A$11,Doctor!$D$2:$D$11)</f>
        <v>Jane Davis</v>
      </c>
      <c r="E169" s="2" t="s">
        <v>442</v>
      </c>
      <c r="F169" s="2" t="str">
        <f>_xlfn.XLOOKUP(E169,Treatment!$A:$A,Treatment!$C:$C)</f>
        <v>X-Ray</v>
      </c>
      <c r="G169" s="4">
        <v>45198</v>
      </c>
      <c r="H169" s="4" t="str">
        <f t="shared" si="3"/>
        <v>September-2023</v>
      </c>
      <c r="I169" s="2">
        <v>864.14</v>
      </c>
      <c r="J169" s="2" t="s">
        <v>621</v>
      </c>
      <c r="K169" s="2" t="s">
        <v>619</v>
      </c>
    </row>
    <row r="170" spans="1:11" x14ac:dyDescent="0.3">
      <c r="A170" s="2" t="s">
        <v>786</v>
      </c>
      <c r="B170" s="2" t="s">
        <v>38</v>
      </c>
      <c r="C170" s="2" t="str">
        <f>_xlfn.XLOOKUP(B170,appointments!$B$2:$B$201,appointments!$C$2:$C$201)</f>
        <v>D003</v>
      </c>
      <c r="D170" s="2" t="str">
        <f>_xlfn.XLOOKUP(C170,Doctor!$A$2:$A$11,Doctor!$D$2:$D$11)</f>
        <v>Jane Smith</v>
      </c>
      <c r="E170" s="2" t="s">
        <v>443</v>
      </c>
      <c r="F170" s="2" t="str">
        <f>_xlfn.XLOOKUP(E170,Treatment!$A:$A,Treatment!$C:$C)</f>
        <v>Physiotherapy</v>
      </c>
      <c r="G170" s="4">
        <v>45131</v>
      </c>
      <c r="H170" s="4" t="str">
        <f t="shared" si="3"/>
        <v>July-2023</v>
      </c>
      <c r="I170" s="2">
        <v>2313.41</v>
      </c>
      <c r="J170" s="2" t="s">
        <v>621</v>
      </c>
      <c r="K170" s="2" t="s">
        <v>614</v>
      </c>
    </row>
    <row r="171" spans="1:11" x14ac:dyDescent="0.3">
      <c r="A171" s="2" t="s">
        <v>787</v>
      </c>
      <c r="B171" s="2" t="s">
        <v>122</v>
      </c>
      <c r="C171" s="2" t="str">
        <f>_xlfn.XLOOKUP(B171,appointments!$B$2:$B$201,appointments!$C$2:$C$201)</f>
        <v>D001</v>
      </c>
      <c r="D171" s="2" t="str">
        <f>_xlfn.XLOOKUP(C171,Doctor!$A$2:$A$11,Doctor!$D$2:$D$11)</f>
        <v>David Taylor</v>
      </c>
      <c r="E171" s="2" t="s">
        <v>444</v>
      </c>
      <c r="F171" s="2" t="str">
        <f>_xlfn.XLOOKUP(E171,Treatment!$A:$A,Treatment!$C:$C)</f>
        <v>X-Ray</v>
      </c>
      <c r="G171" s="4">
        <v>44988</v>
      </c>
      <c r="H171" s="4" t="str">
        <f t="shared" si="3"/>
        <v>March-2023</v>
      </c>
      <c r="I171" s="2">
        <v>1280.8599999999999</v>
      </c>
      <c r="J171" s="2" t="s">
        <v>624</v>
      </c>
      <c r="K171" s="2" t="s">
        <v>619</v>
      </c>
    </row>
    <row r="172" spans="1:11" x14ac:dyDescent="0.3">
      <c r="A172" s="2" t="s">
        <v>788</v>
      </c>
      <c r="B172" s="2" t="s">
        <v>161</v>
      </c>
      <c r="C172" s="2" t="str">
        <f>_xlfn.XLOOKUP(B172,appointments!$B$2:$B$201,appointments!$C$2:$C$201)</f>
        <v>D007</v>
      </c>
      <c r="D172" s="2" t="str">
        <f>_xlfn.XLOOKUP(C172,Doctor!$A$2:$A$11,Doctor!$D$2:$D$11)</f>
        <v>Robert Davis</v>
      </c>
      <c r="E172" s="2" t="s">
        <v>445</v>
      </c>
      <c r="F172" s="2" t="str">
        <f>_xlfn.XLOOKUP(E172,Treatment!$A:$A,Treatment!$C:$C)</f>
        <v>Chemotherapy</v>
      </c>
      <c r="G172" s="4">
        <v>45034</v>
      </c>
      <c r="H172" s="4" t="str">
        <f t="shared" si="3"/>
        <v>April-2023</v>
      </c>
      <c r="I172" s="2">
        <v>3627.28</v>
      </c>
      <c r="J172" s="2" t="s">
        <v>613</v>
      </c>
      <c r="K172" s="2" t="s">
        <v>619</v>
      </c>
    </row>
    <row r="173" spans="1:11" x14ac:dyDescent="0.3">
      <c r="A173" s="2" t="s">
        <v>789</v>
      </c>
      <c r="B173" s="2" t="s">
        <v>178</v>
      </c>
      <c r="C173" s="2" t="str">
        <f>_xlfn.XLOOKUP(B173,appointments!$B$2:$B$201,appointments!$C$2:$C$201)</f>
        <v>D001</v>
      </c>
      <c r="D173" s="2" t="str">
        <f>_xlfn.XLOOKUP(C173,Doctor!$A$2:$A$11,Doctor!$D$2:$D$11)</f>
        <v>David Taylor</v>
      </c>
      <c r="E173" s="2" t="s">
        <v>446</v>
      </c>
      <c r="F173" s="2" t="str">
        <f>_xlfn.XLOOKUP(E173,Treatment!$A:$A,Treatment!$C:$C)</f>
        <v>X-Ray</v>
      </c>
      <c r="G173" s="4">
        <v>44994</v>
      </c>
      <c r="H173" s="4" t="str">
        <f t="shared" si="3"/>
        <v>March-2023</v>
      </c>
      <c r="I173" s="2">
        <v>2057.4499999999998</v>
      </c>
      <c r="J173" s="2" t="s">
        <v>624</v>
      </c>
      <c r="K173" s="2" t="s">
        <v>616</v>
      </c>
    </row>
    <row r="174" spans="1:11" x14ac:dyDescent="0.3">
      <c r="A174" s="2" t="s">
        <v>790</v>
      </c>
      <c r="B174" s="2" t="s">
        <v>59</v>
      </c>
      <c r="C174" s="2" t="str">
        <f>_xlfn.XLOOKUP(B174,appointments!$B$2:$B$201,appointments!$C$2:$C$201)</f>
        <v>D009</v>
      </c>
      <c r="D174" s="2" t="str">
        <f>_xlfn.XLOOKUP(C174,Doctor!$A$2:$A$11,Doctor!$D$2:$D$11)</f>
        <v>Sarah Smith</v>
      </c>
      <c r="E174" s="2" t="s">
        <v>447</v>
      </c>
      <c r="F174" s="2" t="str">
        <f>_xlfn.XLOOKUP(E174,Treatment!$A:$A,Treatment!$C:$C)</f>
        <v>X-Ray</v>
      </c>
      <c r="G174" s="4">
        <v>45081</v>
      </c>
      <c r="H174" s="4" t="str">
        <f t="shared" si="3"/>
        <v>June-2023</v>
      </c>
      <c r="I174" s="2">
        <v>4890.25</v>
      </c>
      <c r="J174" s="2" t="s">
        <v>613</v>
      </c>
      <c r="K174" s="2" t="s">
        <v>614</v>
      </c>
    </row>
    <row r="175" spans="1:11" x14ac:dyDescent="0.3">
      <c r="A175" s="2" t="s">
        <v>791</v>
      </c>
      <c r="B175" s="2" t="s">
        <v>43</v>
      </c>
      <c r="C175" s="2" t="str">
        <f>_xlfn.XLOOKUP(B175,appointments!$B$2:$B$201,appointments!$C$2:$C$201)</f>
        <v>D010</v>
      </c>
      <c r="D175" s="2" t="str">
        <f>_xlfn.XLOOKUP(C175,Doctor!$A$2:$A$11,Doctor!$D$2:$D$11)</f>
        <v>Linda Wilson</v>
      </c>
      <c r="E175" s="2" t="s">
        <v>448</v>
      </c>
      <c r="F175" s="2" t="str">
        <f>_xlfn.XLOOKUP(E175,Treatment!$A:$A,Treatment!$C:$C)</f>
        <v>Chemotherapy</v>
      </c>
      <c r="G175" s="4">
        <v>45230</v>
      </c>
      <c r="H175" s="4" t="str">
        <f t="shared" si="3"/>
        <v>October-2023</v>
      </c>
      <c r="I175" s="2">
        <v>3384.37</v>
      </c>
      <c r="J175" s="2" t="s">
        <v>624</v>
      </c>
      <c r="K175" s="2" t="s">
        <v>616</v>
      </c>
    </row>
    <row r="176" spans="1:11" x14ac:dyDescent="0.3">
      <c r="A176" s="2" t="s">
        <v>792</v>
      </c>
      <c r="B176" s="2" t="s">
        <v>170</v>
      </c>
      <c r="C176" s="2" t="str">
        <f>_xlfn.XLOOKUP(B176,appointments!$B$2:$B$201,appointments!$C$2:$C$201)</f>
        <v>D007</v>
      </c>
      <c r="D176" s="2" t="str">
        <f>_xlfn.XLOOKUP(C176,Doctor!$A$2:$A$11,Doctor!$D$2:$D$11)</f>
        <v>Robert Davis</v>
      </c>
      <c r="E176" s="2" t="s">
        <v>449</v>
      </c>
      <c r="F176" s="2" t="str">
        <f>_xlfn.XLOOKUP(E176,Treatment!$A:$A,Treatment!$C:$C)</f>
        <v>X-Ray</v>
      </c>
      <c r="G176" s="4">
        <v>45221</v>
      </c>
      <c r="H176" s="4" t="str">
        <f t="shared" si="3"/>
        <v>October-2023</v>
      </c>
      <c r="I176" s="2">
        <v>4201.16</v>
      </c>
      <c r="J176" s="2" t="s">
        <v>624</v>
      </c>
      <c r="K176" s="2" t="s">
        <v>616</v>
      </c>
    </row>
    <row r="177" spans="1:11" x14ac:dyDescent="0.3">
      <c r="A177" s="2" t="s">
        <v>793</v>
      </c>
      <c r="B177" s="2" t="s">
        <v>85</v>
      </c>
      <c r="C177" s="2" t="str">
        <f>_xlfn.XLOOKUP(B177,appointments!$B$2:$B$201,appointments!$C$2:$C$201)</f>
        <v>D009</v>
      </c>
      <c r="D177" s="2" t="str">
        <f>_xlfn.XLOOKUP(C177,Doctor!$A$2:$A$11,Doctor!$D$2:$D$11)</f>
        <v>Sarah Smith</v>
      </c>
      <c r="E177" s="2" t="s">
        <v>450</v>
      </c>
      <c r="F177" s="2" t="str">
        <f>_xlfn.XLOOKUP(E177,Treatment!$A:$A,Treatment!$C:$C)</f>
        <v>MRI</v>
      </c>
      <c r="G177" s="4">
        <v>45042</v>
      </c>
      <c r="H177" s="4" t="str">
        <f t="shared" si="3"/>
        <v>April-2023</v>
      </c>
      <c r="I177" s="2">
        <v>1096.3599999999999</v>
      </c>
      <c r="J177" s="2" t="s">
        <v>621</v>
      </c>
      <c r="K177" s="2" t="s">
        <v>616</v>
      </c>
    </row>
    <row r="178" spans="1:11" x14ac:dyDescent="0.3">
      <c r="A178" s="2" t="s">
        <v>794</v>
      </c>
      <c r="B178" s="2" t="s">
        <v>132</v>
      </c>
      <c r="C178" s="2" t="str">
        <f>_xlfn.XLOOKUP(B178,appointments!$B$2:$B$201,appointments!$C$2:$C$201)</f>
        <v>D002</v>
      </c>
      <c r="D178" s="2" t="str">
        <f>_xlfn.XLOOKUP(C178,Doctor!$A$2:$A$11,Doctor!$D$2:$D$11)</f>
        <v>Jane Davis</v>
      </c>
      <c r="E178" s="2" t="s">
        <v>451</v>
      </c>
      <c r="F178" s="2" t="str">
        <f>_xlfn.XLOOKUP(E178,Treatment!$A:$A,Treatment!$C:$C)</f>
        <v>MRI</v>
      </c>
      <c r="G178" s="4">
        <v>45154</v>
      </c>
      <c r="H178" s="4" t="str">
        <f t="shared" si="3"/>
        <v>August-2023</v>
      </c>
      <c r="I178" s="2">
        <v>4379.07</v>
      </c>
      <c r="J178" s="2" t="s">
        <v>613</v>
      </c>
      <c r="K178" s="2" t="s">
        <v>614</v>
      </c>
    </row>
    <row r="179" spans="1:11" x14ac:dyDescent="0.3">
      <c r="A179" s="2" t="s">
        <v>795</v>
      </c>
      <c r="B179" s="2" t="s">
        <v>144</v>
      </c>
      <c r="C179" s="2" t="str">
        <f>_xlfn.XLOOKUP(B179,appointments!$B$2:$B$201,appointments!$C$2:$C$201)</f>
        <v>D002</v>
      </c>
      <c r="D179" s="2" t="str">
        <f>_xlfn.XLOOKUP(C179,Doctor!$A$2:$A$11,Doctor!$D$2:$D$11)</f>
        <v>Jane Davis</v>
      </c>
      <c r="E179" s="2" t="s">
        <v>452</v>
      </c>
      <c r="F179" s="2" t="str">
        <f>_xlfn.XLOOKUP(E179,Treatment!$A:$A,Treatment!$C:$C)</f>
        <v>X-Ray</v>
      </c>
      <c r="G179" s="4">
        <v>44943</v>
      </c>
      <c r="H179" s="4" t="str">
        <f t="shared" si="3"/>
        <v>January-2023</v>
      </c>
      <c r="I179" s="2">
        <v>4652.41</v>
      </c>
      <c r="J179" s="2" t="s">
        <v>624</v>
      </c>
      <c r="K179" s="2" t="s">
        <v>614</v>
      </c>
    </row>
    <row r="180" spans="1:11" x14ac:dyDescent="0.3">
      <c r="A180" s="2" t="s">
        <v>796</v>
      </c>
      <c r="B180" s="2" t="s">
        <v>245</v>
      </c>
      <c r="C180" s="2" t="str">
        <f>_xlfn.XLOOKUP(B180,appointments!$B$2:$B$201,appointments!$C$2:$C$201)</f>
        <v>D006</v>
      </c>
      <c r="D180" s="2" t="str">
        <f>_xlfn.XLOOKUP(C180,Doctor!$A$2:$A$11,Doctor!$D$2:$D$11)</f>
        <v>Alex Davis</v>
      </c>
      <c r="E180" s="2" t="s">
        <v>453</v>
      </c>
      <c r="F180" s="2" t="str">
        <f>_xlfn.XLOOKUP(E180,Treatment!$A:$A,Treatment!$C:$C)</f>
        <v>Physiotherapy</v>
      </c>
      <c r="G180" s="4">
        <v>44993</v>
      </c>
      <c r="H180" s="4" t="str">
        <f t="shared" si="3"/>
        <v>March-2023</v>
      </c>
      <c r="I180" s="2">
        <v>2691.78</v>
      </c>
      <c r="J180" s="2" t="s">
        <v>624</v>
      </c>
      <c r="K180" s="2" t="s">
        <v>619</v>
      </c>
    </row>
    <row r="181" spans="1:11" x14ac:dyDescent="0.3">
      <c r="A181" s="2" t="s">
        <v>797</v>
      </c>
      <c r="B181" s="2" t="s">
        <v>156</v>
      </c>
      <c r="C181" s="2" t="str">
        <f>_xlfn.XLOOKUP(B181,appointments!$B$2:$B$201,appointments!$C$2:$C$201)</f>
        <v>D009</v>
      </c>
      <c r="D181" s="2" t="str">
        <f>_xlfn.XLOOKUP(C181,Doctor!$A$2:$A$11,Doctor!$D$2:$D$11)</f>
        <v>Sarah Smith</v>
      </c>
      <c r="E181" s="2" t="s">
        <v>454</v>
      </c>
      <c r="F181" s="2" t="str">
        <f>_xlfn.XLOOKUP(E181,Treatment!$A:$A,Treatment!$C:$C)</f>
        <v>Chemotherapy</v>
      </c>
      <c r="G181" s="4">
        <v>44933</v>
      </c>
      <c r="H181" s="4" t="str">
        <f t="shared" si="3"/>
        <v>January-2023</v>
      </c>
      <c r="I181" s="2">
        <v>3228.14</v>
      </c>
      <c r="J181" s="2" t="s">
        <v>621</v>
      </c>
      <c r="K181" s="2" t="s">
        <v>616</v>
      </c>
    </row>
    <row r="182" spans="1:11" x14ac:dyDescent="0.3">
      <c r="A182" s="2" t="s">
        <v>798</v>
      </c>
      <c r="B182" s="2" t="s">
        <v>65</v>
      </c>
      <c r="C182" s="2" t="str">
        <f>_xlfn.XLOOKUP(B182,appointments!$B$2:$B$201,appointments!$C$2:$C$201)</f>
        <v>D006</v>
      </c>
      <c r="D182" s="2" t="str">
        <f>_xlfn.XLOOKUP(C182,Doctor!$A$2:$A$11,Doctor!$D$2:$D$11)</f>
        <v>Alex Davis</v>
      </c>
      <c r="E182" s="2" t="s">
        <v>455</v>
      </c>
      <c r="F182" s="2" t="str">
        <f>_xlfn.XLOOKUP(E182,Treatment!$A:$A,Treatment!$C:$C)</f>
        <v>MRI</v>
      </c>
      <c r="G182" s="4">
        <v>45172</v>
      </c>
      <c r="H182" s="4" t="str">
        <f t="shared" si="3"/>
        <v>September-2023</v>
      </c>
      <c r="I182" s="2">
        <v>3941.64</v>
      </c>
      <c r="J182" s="2" t="s">
        <v>621</v>
      </c>
      <c r="K182" s="2" t="s">
        <v>619</v>
      </c>
    </row>
    <row r="183" spans="1:11" x14ac:dyDescent="0.3">
      <c r="A183" s="2" t="s">
        <v>799</v>
      </c>
      <c r="B183" s="2" t="s">
        <v>135</v>
      </c>
      <c r="C183" s="2" t="str">
        <f>_xlfn.XLOOKUP(B183,appointments!$B$2:$B$201,appointments!$C$2:$C$201)</f>
        <v>D008</v>
      </c>
      <c r="D183" s="2" t="str">
        <f>_xlfn.XLOOKUP(C183,Doctor!$A$2:$A$11,Doctor!$D$2:$D$11)</f>
        <v>Linda Brown</v>
      </c>
      <c r="E183" s="2" t="s">
        <v>456</v>
      </c>
      <c r="F183" s="2" t="str">
        <f>_xlfn.XLOOKUP(E183,Treatment!$A:$A,Treatment!$C:$C)</f>
        <v>Physiotherapy</v>
      </c>
      <c r="G183" s="4">
        <v>45028</v>
      </c>
      <c r="H183" s="4" t="str">
        <f t="shared" si="3"/>
        <v>April-2023</v>
      </c>
      <c r="I183" s="2">
        <v>1286.77</v>
      </c>
      <c r="J183" s="2" t="s">
        <v>613</v>
      </c>
      <c r="K183" s="2" t="s">
        <v>616</v>
      </c>
    </row>
    <row r="184" spans="1:11" x14ac:dyDescent="0.3">
      <c r="A184" s="2" t="s">
        <v>800</v>
      </c>
      <c r="B184" s="2" t="s">
        <v>17</v>
      </c>
      <c r="C184" s="2" t="str">
        <f>_xlfn.XLOOKUP(B184,appointments!$B$2:$B$201,appointments!$C$2:$C$201)</f>
        <v>D003</v>
      </c>
      <c r="D184" s="2" t="str">
        <f>_xlfn.XLOOKUP(C184,Doctor!$A$2:$A$11,Doctor!$D$2:$D$11)</f>
        <v>Jane Smith</v>
      </c>
      <c r="E184" s="2" t="s">
        <v>457</v>
      </c>
      <c r="F184" s="2" t="str">
        <f>_xlfn.XLOOKUP(E184,Treatment!$A:$A,Treatment!$C:$C)</f>
        <v>X-Ray</v>
      </c>
      <c r="G184" s="4">
        <v>44960</v>
      </c>
      <c r="H184" s="4" t="str">
        <f t="shared" si="3"/>
        <v>February-2023</v>
      </c>
      <c r="I184" s="2">
        <v>2761.55</v>
      </c>
      <c r="J184" s="2" t="s">
        <v>624</v>
      </c>
      <c r="K184" s="2" t="s">
        <v>614</v>
      </c>
    </row>
    <row r="185" spans="1:11" x14ac:dyDescent="0.3">
      <c r="A185" s="2" t="s">
        <v>801</v>
      </c>
      <c r="B185" s="2" t="s">
        <v>227</v>
      </c>
      <c r="C185" s="2" t="str">
        <f>_xlfn.XLOOKUP(B185,appointments!$B$2:$B$201,appointments!$C$2:$C$201)</f>
        <v>D004</v>
      </c>
      <c r="D185" s="2" t="str">
        <f>_xlfn.XLOOKUP(C185,Doctor!$A$2:$A$11,Doctor!$D$2:$D$11)</f>
        <v>David Jones</v>
      </c>
      <c r="E185" s="2" t="s">
        <v>458</v>
      </c>
      <c r="F185" s="2" t="str">
        <f>_xlfn.XLOOKUP(E185,Treatment!$A:$A,Treatment!$C:$C)</f>
        <v>Physiotherapy</v>
      </c>
      <c r="G185" s="4">
        <v>44983</v>
      </c>
      <c r="H185" s="4" t="str">
        <f t="shared" si="3"/>
        <v>February-2023</v>
      </c>
      <c r="I185" s="2">
        <v>2293.98</v>
      </c>
      <c r="J185" s="2" t="s">
        <v>613</v>
      </c>
      <c r="K185" s="2" t="s">
        <v>614</v>
      </c>
    </row>
    <row r="186" spans="1:11" x14ac:dyDescent="0.3">
      <c r="A186" s="2" t="s">
        <v>802</v>
      </c>
      <c r="B186" s="2" t="s">
        <v>170</v>
      </c>
      <c r="C186" s="2" t="str">
        <f>_xlfn.XLOOKUP(B186,appointments!$B$2:$B$201,appointments!$C$2:$C$201)</f>
        <v>D007</v>
      </c>
      <c r="D186" s="2" t="str">
        <f>_xlfn.XLOOKUP(C186,Doctor!$A$2:$A$11,Doctor!$D$2:$D$11)</f>
        <v>Robert Davis</v>
      </c>
      <c r="E186" s="2" t="s">
        <v>459</v>
      </c>
      <c r="F186" s="2" t="str">
        <f>_xlfn.XLOOKUP(E186,Treatment!$A:$A,Treatment!$C:$C)</f>
        <v>ECG</v>
      </c>
      <c r="G186" s="4">
        <v>45006</v>
      </c>
      <c r="H186" s="4" t="str">
        <f t="shared" si="3"/>
        <v>March-2023</v>
      </c>
      <c r="I186" s="2">
        <v>1158.68</v>
      </c>
      <c r="J186" s="2" t="s">
        <v>624</v>
      </c>
      <c r="K186" s="2" t="s">
        <v>614</v>
      </c>
    </row>
    <row r="187" spans="1:11" x14ac:dyDescent="0.3">
      <c r="A187" s="2" t="s">
        <v>803</v>
      </c>
      <c r="B187" s="2" t="s">
        <v>116</v>
      </c>
      <c r="C187" s="2" t="str">
        <f>_xlfn.XLOOKUP(B187,appointments!$B$2:$B$201,appointments!$C$2:$C$201)</f>
        <v>D004</v>
      </c>
      <c r="D187" s="2" t="str">
        <f>_xlfn.XLOOKUP(C187,Doctor!$A$2:$A$11,Doctor!$D$2:$D$11)</f>
        <v>David Jones</v>
      </c>
      <c r="E187" s="2" t="s">
        <v>460</v>
      </c>
      <c r="F187" s="2" t="str">
        <f>_xlfn.XLOOKUP(E187,Treatment!$A:$A,Treatment!$C:$C)</f>
        <v>MRI</v>
      </c>
      <c r="G187" s="4">
        <v>45012</v>
      </c>
      <c r="H187" s="4" t="str">
        <f t="shared" si="3"/>
        <v>March-2023</v>
      </c>
      <c r="I187" s="2">
        <v>2153.9</v>
      </c>
      <c r="J187" s="2" t="s">
        <v>613</v>
      </c>
      <c r="K187" s="2" t="s">
        <v>616</v>
      </c>
    </row>
    <row r="188" spans="1:11" x14ac:dyDescent="0.3">
      <c r="A188" s="2" t="s">
        <v>804</v>
      </c>
      <c r="B188" s="2" t="s">
        <v>110</v>
      </c>
      <c r="C188" s="2" t="str">
        <f>_xlfn.XLOOKUP(B188,appointments!$B$2:$B$201,appointments!$C$2:$C$201)</f>
        <v>D010</v>
      </c>
      <c r="D188" s="2" t="str">
        <f>_xlfn.XLOOKUP(C188,Doctor!$A$2:$A$11,Doctor!$D$2:$D$11)</f>
        <v>Linda Wilson</v>
      </c>
      <c r="E188" s="2" t="s">
        <v>461</v>
      </c>
      <c r="F188" s="2" t="str">
        <f>_xlfn.XLOOKUP(E188,Treatment!$A:$A,Treatment!$C:$C)</f>
        <v>X-Ray</v>
      </c>
      <c r="G188" s="4">
        <v>44970</v>
      </c>
      <c r="H188" s="4" t="str">
        <f t="shared" si="3"/>
        <v>February-2023</v>
      </c>
      <c r="I188" s="2">
        <v>806.78</v>
      </c>
      <c r="J188" s="2" t="s">
        <v>621</v>
      </c>
      <c r="K188" s="2" t="s">
        <v>614</v>
      </c>
    </row>
    <row r="189" spans="1:11" x14ac:dyDescent="0.3">
      <c r="A189" s="2" t="s">
        <v>805</v>
      </c>
      <c r="B189" s="2" t="s">
        <v>105</v>
      </c>
      <c r="C189" s="2" t="str">
        <f>_xlfn.XLOOKUP(B189,appointments!$B$2:$B$201,appointments!$C$2:$C$201)</f>
        <v>D010</v>
      </c>
      <c r="D189" s="2" t="str">
        <f>_xlfn.XLOOKUP(C189,Doctor!$A$2:$A$11,Doctor!$D$2:$D$11)</f>
        <v>Linda Wilson</v>
      </c>
      <c r="E189" s="2" t="s">
        <v>462</v>
      </c>
      <c r="F189" s="2" t="str">
        <f>_xlfn.XLOOKUP(E189,Treatment!$A:$A,Treatment!$C:$C)</f>
        <v>Chemotherapy</v>
      </c>
      <c r="G189" s="4">
        <v>45028</v>
      </c>
      <c r="H189" s="4" t="str">
        <f t="shared" si="3"/>
        <v>April-2023</v>
      </c>
      <c r="I189" s="2">
        <v>616.15</v>
      </c>
      <c r="J189" s="2" t="s">
        <v>624</v>
      </c>
      <c r="K189" s="2" t="s">
        <v>616</v>
      </c>
    </row>
    <row r="190" spans="1:11" x14ac:dyDescent="0.3">
      <c r="A190" s="2" t="s">
        <v>806</v>
      </c>
      <c r="B190" s="2" t="s">
        <v>33</v>
      </c>
      <c r="C190" s="2" t="str">
        <f>_xlfn.XLOOKUP(B190,appointments!$B$2:$B$201,appointments!$C$2:$C$201)</f>
        <v>D003</v>
      </c>
      <c r="D190" s="2" t="str">
        <f>_xlfn.XLOOKUP(C190,Doctor!$A$2:$A$11,Doctor!$D$2:$D$11)</f>
        <v>Jane Smith</v>
      </c>
      <c r="E190" s="2" t="s">
        <v>463</v>
      </c>
      <c r="F190" s="2" t="str">
        <f>_xlfn.XLOOKUP(E190,Treatment!$A:$A,Treatment!$C:$C)</f>
        <v>X-Ray</v>
      </c>
      <c r="G190" s="4">
        <v>45204</v>
      </c>
      <c r="H190" s="4" t="str">
        <f t="shared" si="3"/>
        <v>October-2023</v>
      </c>
      <c r="I190" s="2">
        <v>1108.25</v>
      </c>
      <c r="J190" s="2" t="s">
        <v>613</v>
      </c>
      <c r="K190" s="2" t="s">
        <v>619</v>
      </c>
    </row>
    <row r="191" spans="1:11" x14ac:dyDescent="0.3">
      <c r="A191" s="2" t="s">
        <v>807</v>
      </c>
      <c r="B191" s="2" t="s">
        <v>38</v>
      </c>
      <c r="C191" s="2" t="str">
        <f>_xlfn.XLOOKUP(B191,appointments!$B$2:$B$201,appointments!$C$2:$C$201)</f>
        <v>D003</v>
      </c>
      <c r="D191" s="2" t="str">
        <f>_xlfn.XLOOKUP(C191,Doctor!$A$2:$A$11,Doctor!$D$2:$D$11)</f>
        <v>Jane Smith</v>
      </c>
      <c r="E191" s="2" t="s">
        <v>464</v>
      </c>
      <c r="F191" s="2" t="str">
        <f>_xlfn.XLOOKUP(E191,Treatment!$A:$A,Treatment!$C:$C)</f>
        <v>Chemotherapy</v>
      </c>
      <c r="G191" s="4">
        <v>45246</v>
      </c>
      <c r="H191" s="4" t="str">
        <f t="shared" si="3"/>
        <v>November-2023</v>
      </c>
      <c r="I191" s="2">
        <v>4834.0200000000004</v>
      </c>
      <c r="J191" s="2" t="s">
        <v>621</v>
      </c>
      <c r="K191" s="2" t="s">
        <v>616</v>
      </c>
    </row>
    <row r="192" spans="1:11" x14ac:dyDescent="0.3">
      <c r="A192" s="2" t="s">
        <v>808</v>
      </c>
      <c r="B192" s="2" t="s">
        <v>49</v>
      </c>
      <c r="C192" s="2" t="str">
        <f>_xlfn.XLOOKUP(B192,appointments!$B$2:$B$201,appointments!$C$2:$C$201)</f>
        <v>D009</v>
      </c>
      <c r="D192" s="2" t="str">
        <f>_xlfn.XLOOKUP(C192,Doctor!$A$2:$A$11,Doctor!$D$2:$D$11)</f>
        <v>Sarah Smith</v>
      </c>
      <c r="E192" s="2" t="s">
        <v>465</v>
      </c>
      <c r="F192" s="2" t="str">
        <f>_xlfn.XLOOKUP(E192,Treatment!$A:$A,Treatment!$C:$C)</f>
        <v>X-Ray</v>
      </c>
      <c r="G192" s="4">
        <v>45028</v>
      </c>
      <c r="H192" s="4" t="str">
        <f t="shared" si="3"/>
        <v>April-2023</v>
      </c>
      <c r="I192" s="2">
        <v>2972.88</v>
      </c>
      <c r="J192" s="2" t="s">
        <v>621</v>
      </c>
      <c r="K192" s="2" t="s">
        <v>619</v>
      </c>
    </row>
    <row r="193" spans="1:11" x14ac:dyDescent="0.3">
      <c r="A193" s="2" t="s">
        <v>809</v>
      </c>
      <c r="B193" s="2" t="s">
        <v>245</v>
      </c>
      <c r="C193" s="2" t="str">
        <f>_xlfn.XLOOKUP(B193,appointments!$B$2:$B$201,appointments!$C$2:$C$201)</f>
        <v>D006</v>
      </c>
      <c r="D193" s="2" t="str">
        <f>_xlfn.XLOOKUP(C193,Doctor!$A$2:$A$11,Doctor!$D$2:$D$11)</f>
        <v>Alex Davis</v>
      </c>
      <c r="E193" s="2" t="s">
        <v>466</v>
      </c>
      <c r="F193" s="2" t="str">
        <f>_xlfn.XLOOKUP(E193,Treatment!$A:$A,Treatment!$C:$C)</f>
        <v>Physiotherapy</v>
      </c>
      <c r="G193" s="4">
        <v>45169</v>
      </c>
      <c r="H193" s="4" t="str">
        <f t="shared" si="3"/>
        <v>August-2023</v>
      </c>
      <c r="I193" s="2">
        <v>4846.2</v>
      </c>
      <c r="J193" s="2" t="s">
        <v>613</v>
      </c>
      <c r="K193" s="2" t="s">
        <v>616</v>
      </c>
    </row>
    <row r="194" spans="1:11" x14ac:dyDescent="0.3">
      <c r="A194" s="2" t="s">
        <v>810</v>
      </c>
      <c r="B194" s="2" t="s">
        <v>93</v>
      </c>
      <c r="C194" s="2" t="str">
        <f>_xlfn.XLOOKUP(B194,appointments!$B$2:$B$201,appointments!$C$2:$C$201)</f>
        <v>D003</v>
      </c>
      <c r="D194" s="2" t="str">
        <f>_xlfn.XLOOKUP(C194,Doctor!$A$2:$A$11,Doctor!$D$2:$D$11)</f>
        <v>Jane Smith</v>
      </c>
      <c r="E194" s="2" t="s">
        <v>467</v>
      </c>
      <c r="F194" s="2" t="str">
        <f>_xlfn.XLOOKUP(E194,Treatment!$A:$A,Treatment!$C:$C)</f>
        <v>Physiotherapy</v>
      </c>
      <c r="G194" s="4">
        <v>45184</v>
      </c>
      <c r="H194" s="4" t="str">
        <f t="shared" si="3"/>
        <v>September-2023</v>
      </c>
      <c r="I194" s="2">
        <v>2446.2399999999998</v>
      </c>
      <c r="J194" s="2" t="s">
        <v>624</v>
      </c>
      <c r="K194" s="2" t="s">
        <v>619</v>
      </c>
    </row>
    <row r="195" spans="1:11" x14ac:dyDescent="0.3">
      <c r="A195" s="2" t="s">
        <v>811</v>
      </c>
      <c r="B195" s="2" t="s">
        <v>147</v>
      </c>
      <c r="C195" s="2" t="str">
        <f>_xlfn.XLOOKUP(B195,appointments!$B$2:$B$201,appointments!$C$2:$C$201)</f>
        <v>D005</v>
      </c>
      <c r="D195" s="2" t="str">
        <f>_xlfn.XLOOKUP(C195,Doctor!$A$2:$A$11,Doctor!$D$2:$D$11)</f>
        <v>Sarah Taylor</v>
      </c>
      <c r="E195" s="2" t="s">
        <v>468</v>
      </c>
      <c r="F195" s="2" t="str">
        <f>_xlfn.XLOOKUP(E195,Treatment!$A:$A,Treatment!$C:$C)</f>
        <v>Physiotherapy</v>
      </c>
      <c r="G195" s="4">
        <v>45022</v>
      </c>
      <c r="H195" s="4" t="str">
        <f t="shared" ref="H195:H201" si="4">TEXT(G195,"mmmm-yyyy")</f>
        <v>April-2023</v>
      </c>
      <c r="I195" s="2">
        <v>1903.17</v>
      </c>
      <c r="J195" s="2" t="s">
        <v>624</v>
      </c>
      <c r="K195" s="2" t="s">
        <v>614</v>
      </c>
    </row>
    <row r="196" spans="1:11" x14ac:dyDescent="0.3">
      <c r="A196" s="2" t="s">
        <v>812</v>
      </c>
      <c r="B196" s="2" t="s">
        <v>10</v>
      </c>
      <c r="C196" s="2" t="str">
        <f>_xlfn.XLOOKUP(B196,appointments!$B$2:$B$201,appointments!$C$2:$C$201)</f>
        <v>D004</v>
      </c>
      <c r="D196" s="2" t="str">
        <f>_xlfn.XLOOKUP(C196,Doctor!$A$2:$A$11,Doctor!$D$2:$D$11)</f>
        <v>David Jones</v>
      </c>
      <c r="E196" s="2" t="s">
        <v>469</v>
      </c>
      <c r="F196" s="2" t="str">
        <f>_xlfn.XLOOKUP(E196,Treatment!$A:$A,Treatment!$C:$C)</f>
        <v>ECG</v>
      </c>
      <c r="G196" s="4">
        <v>45157</v>
      </c>
      <c r="H196" s="4" t="str">
        <f t="shared" si="4"/>
        <v>August-2023</v>
      </c>
      <c r="I196" s="2">
        <v>2777.64</v>
      </c>
      <c r="J196" s="2" t="s">
        <v>621</v>
      </c>
      <c r="K196" s="2" t="s">
        <v>619</v>
      </c>
    </row>
    <row r="197" spans="1:11" x14ac:dyDescent="0.3">
      <c r="A197" s="2" t="s">
        <v>813</v>
      </c>
      <c r="B197" s="2" t="s">
        <v>21</v>
      </c>
      <c r="C197" s="2" t="str">
        <f>_xlfn.XLOOKUP(B197,appointments!$B$2:$B$201,appointments!$C$2:$C$201)</f>
        <v>D006</v>
      </c>
      <c r="D197" s="2" t="str">
        <f>_xlfn.XLOOKUP(C197,Doctor!$A$2:$A$11,Doctor!$D$2:$D$11)</f>
        <v>Alex Davis</v>
      </c>
      <c r="E197" s="2" t="s">
        <v>470</v>
      </c>
      <c r="F197" s="2" t="str">
        <f>_xlfn.XLOOKUP(E197,Treatment!$A:$A,Treatment!$C:$C)</f>
        <v>Chemotherapy</v>
      </c>
      <c r="G197" s="4">
        <v>45225</v>
      </c>
      <c r="H197" s="4" t="str">
        <f t="shared" si="4"/>
        <v>October-2023</v>
      </c>
      <c r="I197" s="2">
        <v>2477.8000000000002</v>
      </c>
      <c r="J197" s="2" t="s">
        <v>624</v>
      </c>
      <c r="K197" s="2" t="s">
        <v>614</v>
      </c>
    </row>
    <row r="198" spans="1:11" x14ac:dyDescent="0.3">
      <c r="A198" s="2" t="s">
        <v>814</v>
      </c>
      <c r="B198" s="2" t="s">
        <v>24</v>
      </c>
      <c r="C198" s="2" t="str">
        <f>_xlfn.XLOOKUP(B198,appointments!$B$2:$B$201,appointments!$C$2:$C$201)</f>
        <v>D007</v>
      </c>
      <c r="D198" s="2" t="str">
        <f>_xlfn.XLOOKUP(C198,Doctor!$A$2:$A$11,Doctor!$D$2:$D$11)</f>
        <v>Robert Davis</v>
      </c>
      <c r="E198" s="2" t="s">
        <v>471</v>
      </c>
      <c r="F198" s="2" t="str">
        <f>_xlfn.XLOOKUP(E198,Treatment!$A:$A,Treatment!$C:$C)</f>
        <v>Physiotherapy</v>
      </c>
      <c r="G198" s="4">
        <v>45017</v>
      </c>
      <c r="H198" s="4" t="str">
        <f t="shared" si="4"/>
        <v>April-2023</v>
      </c>
      <c r="I198" s="2">
        <v>975.49</v>
      </c>
      <c r="J198" s="2" t="s">
        <v>624</v>
      </c>
      <c r="K198" s="2" t="s">
        <v>614</v>
      </c>
    </row>
    <row r="199" spans="1:11" x14ac:dyDescent="0.3">
      <c r="A199" s="2" t="s">
        <v>815</v>
      </c>
      <c r="B199" s="2" t="s">
        <v>36</v>
      </c>
      <c r="C199" s="2" t="str">
        <f>_xlfn.XLOOKUP(B199,appointments!$B$2:$B$201,appointments!$C$2:$C$201)</f>
        <v>D007</v>
      </c>
      <c r="D199" s="2" t="str">
        <f>_xlfn.XLOOKUP(C199,Doctor!$A$2:$A$11,Doctor!$D$2:$D$11)</f>
        <v>Robert Davis</v>
      </c>
      <c r="E199" s="2" t="s">
        <v>472</v>
      </c>
      <c r="F199" s="2" t="str">
        <f>_xlfn.XLOOKUP(E199,Treatment!$A:$A,Treatment!$C:$C)</f>
        <v>ECG</v>
      </c>
      <c r="G199" s="4">
        <v>45061</v>
      </c>
      <c r="H199" s="4" t="str">
        <f t="shared" si="4"/>
        <v>May-2023</v>
      </c>
      <c r="I199" s="2">
        <v>3383.72</v>
      </c>
      <c r="J199" s="2" t="s">
        <v>624</v>
      </c>
      <c r="K199" s="2" t="s">
        <v>619</v>
      </c>
    </row>
    <row r="200" spans="1:11" x14ac:dyDescent="0.3">
      <c r="A200" s="2" t="s">
        <v>816</v>
      </c>
      <c r="B200" s="2" t="s">
        <v>144</v>
      </c>
      <c r="C200" s="2" t="str">
        <f>_xlfn.XLOOKUP(B200,appointments!$B$2:$B$201,appointments!$C$2:$C$201)</f>
        <v>D002</v>
      </c>
      <c r="D200" s="2" t="str">
        <f>_xlfn.XLOOKUP(C200,Doctor!$A$2:$A$11,Doctor!$D$2:$D$11)</f>
        <v>Jane Davis</v>
      </c>
      <c r="E200" s="2" t="s">
        <v>473</v>
      </c>
      <c r="F200" s="2" t="str">
        <f>_xlfn.XLOOKUP(E200,Treatment!$A:$A,Treatment!$C:$C)</f>
        <v>Chemotherapy</v>
      </c>
      <c r="G200" s="4">
        <v>45047</v>
      </c>
      <c r="H200" s="4" t="str">
        <f t="shared" si="4"/>
        <v>May-2023</v>
      </c>
      <c r="I200" s="2">
        <v>1472.17</v>
      </c>
      <c r="J200" s="2" t="s">
        <v>621</v>
      </c>
      <c r="K200" s="2" t="s">
        <v>616</v>
      </c>
    </row>
    <row r="201" spans="1:11" x14ac:dyDescent="0.3">
      <c r="A201" s="2" t="s">
        <v>817</v>
      </c>
      <c r="B201" s="2" t="s">
        <v>156</v>
      </c>
      <c r="C201" s="2" t="str">
        <f>_xlfn.XLOOKUP(B201,appointments!$B$2:$B$201,appointments!$C$2:$C$201)</f>
        <v>D009</v>
      </c>
      <c r="D201" s="2" t="str">
        <f>_xlfn.XLOOKUP(C201,Doctor!$A$2:$A$11,Doctor!$D$2:$D$11)</f>
        <v>Sarah Smith</v>
      </c>
      <c r="E201" s="2" t="s">
        <v>474</v>
      </c>
      <c r="F201" s="2" t="str">
        <f>_xlfn.XLOOKUP(E201,Treatment!$A:$A,Treatment!$C:$C)</f>
        <v>X-Ray</v>
      </c>
      <c r="G201" s="4">
        <v>45290</v>
      </c>
      <c r="H201" s="4" t="str">
        <f t="shared" si="4"/>
        <v>December-2023</v>
      </c>
      <c r="I201" s="2">
        <v>3288.15</v>
      </c>
      <c r="J201" s="2" t="s">
        <v>613</v>
      </c>
      <c r="K201" s="2" t="s">
        <v>616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2A6-EB33-4DFA-AD20-3636A2ABD91C}">
  <dimension ref="A3:C20"/>
  <sheetViews>
    <sheetView workbookViewId="0">
      <selection activeCell="A3" sqref="A3"/>
    </sheetView>
  </sheetViews>
  <sheetFormatPr defaultRowHeight="14.4" x14ac:dyDescent="0.3"/>
  <sheetData>
    <row r="3" spans="1:3" x14ac:dyDescent="0.3">
      <c r="A3" s="8"/>
      <c r="B3" s="9"/>
      <c r="C3" s="10"/>
    </row>
    <row r="4" spans="1:3" x14ac:dyDescent="0.3">
      <c r="A4" s="11"/>
      <c r="B4" s="12"/>
      <c r="C4" s="13"/>
    </row>
    <row r="5" spans="1:3" x14ac:dyDescent="0.3">
      <c r="A5" s="11"/>
      <c r="B5" s="12"/>
      <c r="C5" s="13"/>
    </row>
    <row r="6" spans="1:3" x14ac:dyDescent="0.3">
      <c r="A6" s="11"/>
      <c r="B6" s="12"/>
      <c r="C6" s="13"/>
    </row>
    <row r="7" spans="1:3" x14ac:dyDescent="0.3">
      <c r="A7" s="11"/>
      <c r="B7" s="12"/>
      <c r="C7" s="13"/>
    </row>
    <row r="8" spans="1:3" x14ac:dyDescent="0.3">
      <c r="A8" s="11"/>
      <c r="B8" s="12"/>
      <c r="C8" s="13"/>
    </row>
    <row r="9" spans="1:3" x14ac:dyDescent="0.3">
      <c r="A9" s="11"/>
      <c r="B9" s="12"/>
      <c r="C9" s="13"/>
    </row>
    <row r="10" spans="1:3" x14ac:dyDescent="0.3">
      <c r="A10" s="11"/>
      <c r="B10" s="12"/>
      <c r="C10" s="13"/>
    </row>
    <row r="11" spans="1:3" x14ac:dyDescent="0.3">
      <c r="A11" s="11"/>
      <c r="B11" s="12"/>
      <c r="C11" s="13"/>
    </row>
    <row r="12" spans="1:3" x14ac:dyDescent="0.3">
      <c r="A12" s="11"/>
      <c r="B12" s="12"/>
      <c r="C12" s="13"/>
    </row>
    <row r="13" spans="1:3" x14ac:dyDescent="0.3">
      <c r="A13" s="11"/>
      <c r="B13" s="12"/>
      <c r="C13" s="13"/>
    </row>
    <row r="14" spans="1:3" x14ac:dyDescent="0.3">
      <c r="A14" s="11"/>
      <c r="B14" s="12"/>
      <c r="C14" s="13"/>
    </row>
    <row r="15" spans="1:3" x14ac:dyDescent="0.3">
      <c r="A15" s="11"/>
      <c r="B15" s="12"/>
      <c r="C15" s="13"/>
    </row>
    <row r="16" spans="1:3" x14ac:dyDescent="0.3">
      <c r="A16" s="11"/>
      <c r="B16" s="12"/>
      <c r="C16" s="13"/>
    </row>
    <row r="17" spans="1:3" x14ac:dyDescent="0.3">
      <c r="A17" s="11"/>
      <c r="B17" s="12"/>
      <c r="C17" s="13"/>
    </row>
    <row r="18" spans="1:3" x14ac:dyDescent="0.3">
      <c r="A18" s="11"/>
      <c r="B18" s="12"/>
      <c r="C18" s="13"/>
    </row>
    <row r="19" spans="1:3" x14ac:dyDescent="0.3">
      <c r="A19" s="11"/>
      <c r="B19" s="12"/>
      <c r="C19" s="13"/>
    </row>
    <row r="20" spans="1:3" x14ac:dyDescent="0.3">
      <c r="A20" s="14"/>
      <c r="B20" s="15"/>
      <c r="C20" s="1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77FA9-EF07-4472-9CD5-3FDFCDDB46B2}">
  <dimension ref="A1:K51"/>
  <sheetViews>
    <sheetView workbookViewId="0">
      <selection activeCell="C8" sqref="C8"/>
    </sheetView>
  </sheetViews>
  <sheetFormatPr defaultRowHeight="14.4" x14ac:dyDescent="0.3"/>
  <cols>
    <col min="1" max="1" width="9.21875" bestFit="1" customWidth="1"/>
    <col min="2" max="2" width="9.77734375" bestFit="1" customWidth="1"/>
    <col min="3" max="3" width="9.44140625" bestFit="1" customWidth="1"/>
    <col min="4" max="4" width="6.5546875" bestFit="1" customWidth="1"/>
    <col min="5" max="5" width="12.21875" bestFit="1" customWidth="1"/>
    <col min="6" max="6" width="14.5546875" bestFit="1" customWidth="1"/>
    <col min="7" max="7" width="11.88671875" bestFit="1" customWidth="1"/>
    <col min="8" max="8" width="15.109375" bestFit="1" customWidth="1"/>
    <col min="9" max="9" width="16.6640625" bestFit="1" customWidth="1"/>
    <col min="10" max="10" width="16.109375" bestFit="1" customWidth="1"/>
    <col min="11" max="11" width="24" bestFit="1" customWidth="1"/>
  </cols>
  <sheetData>
    <row r="1" spans="1:11" x14ac:dyDescent="0.3">
      <c r="A1" s="3" t="s">
        <v>819</v>
      </c>
      <c r="B1" s="3" t="s">
        <v>835</v>
      </c>
      <c r="C1" s="3" t="s">
        <v>836</v>
      </c>
      <c r="D1" s="3" t="s">
        <v>837</v>
      </c>
      <c r="E1" s="3" t="s">
        <v>838</v>
      </c>
      <c r="F1" s="3" t="s">
        <v>839</v>
      </c>
      <c r="G1" s="3" t="s">
        <v>840</v>
      </c>
      <c r="H1" s="3" t="s">
        <v>841</v>
      </c>
      <c r="I1" s="3" t="s">
        <v>842</v>
      </c>
      <c r="J1" s="3" t="s">
        <v>843</v>
      </c>
      <c r="K1" s="3" t="s">
        <v>844</v>
      </c>
    </row>
    <row r="2" spans="1:11" x14ac:dyDescent="0.3">
      <c r="A2" s="2" t="s">
        <v>24</v>
      </c>
      <c r="B2" s="2" t="s">
        <v>475</v>
      </c>
      <c r="C2" s="2" t="s">
        <v>476</v>
      </c>
      <c r="D2" s="2" t="s">
        <v>477</v>
      </c>
      <c r="E2" s="4">
        <v>20244</v>
      </c>
      <c r="F2" s="2">
        <v>6939585183</v>
      </c>
      <c r="G2" s="2" t="s">
        <v>478</v>
      </c>
      <c r="H2" s="4">
        <v>44735</v>
      </c>
      <c r="I2" s="2" t="s">
        <v>479</v>
      </c>
      <c r="J2" s="2" t="s">
        <v>480</v>
      </c>
      <c r="K2" s="2" t="s">
        <v>481</v>
      </c>
    </row>
    <row r="3" spans="1:11" x14ac:dyDescent="0.3">
      <c r="A3" s="2" t="s">
        <v>105</v>
      </c>
      <c r="B3" s="2" t="s">
        <v>482</v>
      </c>
      <c r="C3" s="2" t="s">
        <v>483</v>
      </c>
      <c r="D3" s="2" t="s">
        <v>477</v>
      </c>
      <c r="E3" s="4">
        <v>30967</v>
      </c>
      <c r="F3" s="2">
        <v>8228188767</v>
      </c>
      <c r="G3" s="2" t="s">
        <v>484</v>
      </c>
      <c r="H3" s="4">
        <v>44576</v>
      </c>
      <c r="I3" s="2" t="s">
        <v>485</v>
      </c>
      <c r="J3" s="2" t="s">
        <v>486</v>
      </c>
      <c r="K3" s="2" t="s">
        <v>487</v>
      </c>
    </row>
    <row r="4" spans="1:11" x14ac:dyDescent="0.3">
      <c r="A4" s="2" t="s">
        <v>40</v>
      </c>
      <c r="B4" s="2" t="s">
        <v>488</v>
      </c>
      <c r="C4" s="2" t="s">
        <v>489</v>
      </c>
      <c r="D4" s="2" t="s">
        <v>490</v>
      </c>
      <c r="E4" s="4">
        <v>28358</v>
      </c>
      <c r="F4" s="2">
        <v>8397029847</v>
      </c>
      <c r="G4" s="2" t="s">
        <v>484</v>
      </c>
      <c r="H4" s="4">
        <v>44599</v>
      </c>
      <c r="I4" s="2" t="s">
        <v>485</v>
      </c>
      <c r="J4" s="2" t="s">
        <v>491</v>
      </c>
      <c r="K4" s="2" t="s">
        <v>492</v>
      </c>
    </row>
    <row r="5" spans="1:11" x14ac:dyDescent="0.3">
      <c r="A5" s="2" t="s">
        <v>99</v>
      </c>
      <c r="B5" s="2" t="s">
        <v>493</v>
      </c>
      <c r="C5" s="2" t="s">
        <v>494</v>
      </c>
      <c r="D5" s="2" t="s">
        <v>477</v>
      </c>
      <c r="E5" s="4">
        <v>29637</v>
      </c>
      <c r="F5" s="2">
        <v>9019443432</v>
      </c>
      <c r="G5" s="2" t="s">
        <v>495</v>
      </c>
      <c r="H5" s="4">
        <v>44257</v>
      </c>
      <c r="I5" s="2" t="s">
        <v>496</v>
      </c>
      <c r="J5" s="2" t="s">
        <v>497</v>
      </c>
      <c r="K5" s="2" t="s">
        <v>498</v>
      </c>
    </row>
    <row r="6" spans="1:11" x14ac:dyDescent="0.3">
      <c r="A6" s="2" t="s">
        <v>33</v>
      </c>
      <c r="B6" s="2" t="s">
        <v>475</v>
      </c>
      <c r="C6" s="2" t="s">
        <v>499</v>
      </c>
      <c r="D6" s="2" t="s">
        <v>490</v>
      </c>
      <c r="E6" s="4">
        <v>22090</v>
      </c>
      <c r="F6" s="2">
        <v>7734463155</v>
      </c>
      <c r="G6" s="2" t="s">
        <v>495</v>
      </c>
      <c r="H6" s="4">
        <v>44468</v>
      </c>
      <c r="I6" s="2" t="s">
        <v>500</v>
      </c>
      <c r="J6" s="2" t="s">
        <v>501</v>
      </c>
      <c r="K6" s="2" t="s">
        <v>502</v>
      </c>
    </row>
    <row r="7" spans="1:11" x14ac:dyDescent="0.3">
      <c r="A7" s="2" t="s">
        <v>503</v>
      </c>
      <c r="B7" s="2" t="s">
        <v>504</v>
      </c>
      <c r="C7" s="2" t="s">
        <v>489</v>
      </c>
      <c r="D7" s="2" t="s">
        <v>490</v>
      </c>
      <c r="E7" s="4">
        <v>23178</v>
      </c>
      <c r="F7" s="2">
        <v>7561777264</v>
      </c>
      <c r="G7" s="2" t="s">
        <v>484</v>
      </c>
      <c r="H7" s="4">
        <v>44836</v>
      </c>
      <c r="I7" s="2" t="s">
        <v>496</v>
      </c>
      <c r="J7" s="2" t="s">
        <v>505</v>
      </c>
      <c r="K7" s="2" t="s">
        <v>506</v>
      </c>
    </row>
    <row r="8" spans="1:11" x14ac:dyDescent="0.3">
      <c r="A8" s="2" t="s">
        <v>156</v>
      </c>
      <c r="B8" s="2" t="s">
        <v>507</v>
      </c>
      <c r="C8" s="2" t="s">
        <v>494</v>
      </c>
      <c r="D8" s="2" t="s">
        <v>477</v>
      </c>
      <c r="E8" s="4">
        <v>32667</v>
      </c>
      <c r="F8" s="2">
        <v>6278710077</v>
      </c>
      <c r="G8" s="2" t="s">
        <v>478</v>
      </c>
      <c r="H8" s="4">
        <v>44555</v>
      </c>
      <c r="I8" s="2" t="s">
        <v>500</v>
      </c>
      <c r="J8" s="2" t="s">
        <v>508</v>
      </c>
      <c r="K8" s="2" t="s">
        <v>509</v>
      </c>
    </row>
    <row r="9" spans="1:11" x14ac:dyDescent="0.3">
      <c r="A9" s="2" t="s">
        <v>147</v>
      </c>
      <c r="B9" s="2" t="s">
        <v>475</v>
      </c>
      <c r="C9" s="2" t="s">
        <v>510</v>
      </c>
      <c r="D9" s="2" t="s">
        <v>477</v>
      </c>
      <c r="E9" s="4">
        <v>27946</v>
      </c>
      <c r="F9" s="2">
        <v>7090558393</v>
      </c>
      <c r="G9" s="2" t="s">
        <v>511</v>
      </c>
      <c r="H9" s="4">
        <v>44341</v>
      </c>
      <c r="I9" s="2" t="s">
        <v>479</v>
      </c>
      <c r="J9" s="2" t="s">
        <v>512</v>
      </c>
      <c r="K9" s="2" t="s">
        <v>513</v>
      </c>
    </row>
    <row r="10" spans="1:11" x14ac:dyDescent="0.3">
      <c r="A10" s="2" t="s">
        <v>170</v>
      </c>
      <c r="B10" s="2" t="s">
        <v>488</v>
      </c>
      <c r="C10" s="2" t="s">
        <v>510</v>
      </c>
      <c r="D10" s="2" t="s">
        <v>490</v>
      </c>
      <c r="E10" s="4">
        <v>26278</v>
      </c>
      <c r="F10" s="2">
        <v>7060324619</v>
      </c>
      <c r="G10" s="2" t="s">
        <v>484</v>
      </c>
      <c r="H10" s="4">
        <v>44822</v>
      </c>
      <c r="I10" s="2" t="s">
        <v>485</v>
      </c>
      <c r="J10" s="2" t="s">
        <v>514</v>
      </c>
      <c r="K10" s="2" t="s">
        <v>515</v>
      </c>
    </row>
    <row r="11" spans="1:11" x14ac:dyDescent="0.3">
      <c r="A11" s="2" t="s">
        <v>85</v>
      </c>
      <c r="B11" s="2" t="s">
        <v>493</v>
      </c>
      <c r="C11" s="2" t="s">
        <v>516</v>
      </c>
      <c r="D11" s="2" t="s">
        <v>490</v>
      </c>
      <c r="E11" s="4">
        <v>37177</v>
      </c>
      <c r="F11" s="2">
        <v>7081396733</v>
      </c>
      <c r="G11" s="2" t="s">
        <v>495</v>
      </c>
      <c r="H11" s="4">
        <v>44797</v>
      </c>
      <c r="I11" s="2" t="s">
        <v>479</v>
      </c>
      <c r="J11" s="2" t="s">
        <v>517</v>
      </c>
      <c r="K11" s="2" t="s">
        <v>518</v>
      </c>
    </row>
    <row r="12" spans="1:11" x14ac:dyDescent="0.3">
      <c r="A12" s="2" t="s">
        <v>161</v>
      </c>
      <c r="B12" s="2" t="s">
        <v>482</v>
      </c>
      <c r="C12" s="2" t="s">
        <v>489</v>
      </c>
      <c r="D12" s="2" t="s">
        <v>477</v>
      </c>
      <c r="E12" s="4">
        <v>24445</v>
      </c>
      <c r="F12" s="2">
        <v>8990604070</v>
      </c>
      <c r="G12" s="2" t="s">
        <v>478</v>
      </c>
      <c r="H12" s="4">
        <v>44831</v>
      </c>
      <c r="I12" s="2" t="s">
        <v>500</v>
      </c>
      <c r="J12" s="2" t="s">
        <v>519</v>
      </c>
      <c r="K12" s="2" t="s">
        <v>520</v>
      </c>
    </row>
    <row r="13" spans="1:11" x14ac:dyDescent="0.3">
      <c r="A13" s="2" t="s">
        <v>43</v>
      </c>
      <c r="B13" s="2" t="s">
        <v>488</v>
      </c>
      <c r="C13" s="2" t="s">
        <v>510</v>
      </c>
      <c r="D13" s="2" t="s">
        <v>477</v>
      </c>
      <c r="E13" s="4">
        <v>33580</v>
      </c>
      <c r="F13" s="2">
        <v>8135666049</v>
      </c>
      <c r="G13" s="2" t="s">
        <v>484</v>
      </c>
      <c r="H13" s="4">
        <v>45043</v>
      </c>
      <c r="I13" s="2" t="s">
        <v>500</v>
      </c>
      <c r="J13" s="2" t="s">
        <v>521</v>
      </c>
      <c r="K13" s="2" t="s">
        <v>515</v>
      </c>
    </row>
    <row r="14" spans="1:11" x14ac:dyDescent="0.3">
      <c r="A14" s="2" t="s">
        <v>135</v>
      </c>
      <c r="B14" s="2" t="s">
        <v>488</v>
      </c>
      <c r="C14" s="2" t="s">
        <v>494</v>
      </c>
      <c r="D14" s="2" t="s">
        <v>477</v>
      </c>
      <c r="E14" s="4">
        <v>32960</v>
      </c>
      <c r="F14" s="2">
        <v>9059178882</v>
      </c>
      <c r="G14" s="2" t="s">
        <v>484</v>
      </c>
      <c r="H14" s="4">
        <v>44553</v>
      </c>
      <c r="I14" s="2" t="s">
        <v>479</v>
      </c>
      <c r="J14" s="2" t="s">
        <v>522</v>
      </c>
      <c r="K14" s="2" t="s">
        <v>523</v>
      </c>
    </row>
    <row r="15" spans="1:11" x14ac:dyDescent="0.3">
      <c r="A15" s="2" t="s">
        <v>54</v>
      </c>
      <c r="B15" s="2" t="s">
        <v>507</v>
      </c>
      <c r="C15" s="2" t="s">
        <v>516</v>
      </c>
      <c r="D15" s="2" t="s">
        <v>490</v>
      </c>
      <c r="E15" s="4">
        <v>24895</v>
      </c>
      <c r="F15" s="2">
        <v>7292262512</v>
      </c>
      <c r="G15" s="2" t="s">
        <v>478</v>
      </c>
      <c r="H15" s="4">
        <v>45272</v>
      </c>
      <c r="I15" s="2" t="s">
        <v>500</v>
      </c>
      <c r="J15" s="2" t="s">
        <v>524</v>
      </c>
      <c r="K15" s="2" t="s">
        <v>525</v>
      </c>
    </row>
    <row r="16" spans="1:11" x14ac:dyDescent="0.3">
      <c r="A16" s="2" t="s">
        <v>526</v>
      </c>
      <c r="B16" s="2" t="s">
        <v>527</v>
      </c>
      <c r="C16" s="2" t="s">
        <v>494</v>
      </c>
      <c r="D16" s="2" t="s">
        <v>490</v>
      </c>
      <c r="E16" s="4">
        <v>23508</v>
      </c>
      <c r="F16" s="2">
        <v>6636028516</v>
      </c>
      <c r="G16" s="2" t="s">
        <v>484</v>
      </c>
      <c r="H16" s="4">
        <v>44464</v>
      </c>
      <c r="I16" s="2" t="s">
        <v>479</v>
      </c>
      <c r="J16" s="2" t="s">
        <v>528</v>
      </c>
      <c r="K16" s="2" t="s">
        <v>529</v>
      </c>
    </row>
    <row r="17" spans="1:11" x14ac:dyDescent="0.3">
      <c r="A17" s="2" t="s">
        <v>27</v>
      </c>
      <c r="B17" s="2" t="s">
        <v>493</v>
      </c>
      <c r="C17" s="2" t="s">
        <v>516</v>
      </c>
      <c r="D17" s="2" t="s">
        <v>490</v>
      </c>
      <c r="E17" s="4">
        <v>36729</v>
      </c>
      <c r="F17" s="2">
        <v>7223380592</v>
      </c>
      <c r="G17" s="2" t="s">
        <v>478</v>
      </c>
      <c r="H17" s="4">
        <v>44400</v>
      </c>
      <c r="I17" s="2" t="s">
        <v>485</v>
      </c>
      <c r="J17" s="2" t="s">
        <v>530</v>
      </c>
      <c r="K17" s="2" t="s">
        <v>518</v>
      </c>
    </row>
    <row r="18" spans="1:11" x14ac:dyDescent="0.3">
      <c r="A18" s="2" t="s">
        <v>144</v>
      </c>
      <c r="B18" s="2" t="s">
        <v>531</v>
      </c>
      <c r="C18" s="2" t="s">
        <v>489</v>
      </c>
      <c r="D18" s="2" t="s">
        <v>490</v>
      </c>
      <c r="E18" s="4">
        <v>33359</v>
      </c>
      <c r="F18" s="2">
        <v>6158428240</v>
      </c>
      <c r="G18" s="2" t="s">
        <v>511</v>
      </c>
      <c r="H18" s="4">
        <v>44830</v>
      </c>
      <c r="I18" s="2" t="s">
        <v>479</v>
      </c>
      <c r="J18" s="2" t="s">
        <v>532</v>
      </c>
      <c r="K18" s="2" t="s">
        <v>533</v>
      </c>
    </row>
    <row r="19" spans="1:11" x14ac:dyDescent="0.3">
      <c r="A19" s="2" t="s">
        <v>178</v>
      </c>
      <c r="B19" s="2" t="s">
        <v>488</v>
      </c>
      <c r="C19" s="2" t="s">
        <v>499</v>
      </c>
      <c r="D19" s="2" t="s">
        <v>490</v>
      </c>
      <c r="E19" s="4">
        <v>29122</v>
      </c>
      <c r="F19" s="2">
        <v>7145815738</v>
      </c>
      <c r="G19" s="2" t="s">
        <v>478</v>
      </c>
      <c r="H19" s="4">
        <v>44827</v>
      </c>
      <c r="I19" s="2" t="s">
        <v>485</v>
      </c>
      <c r="J19" s="2" t="s">
        <v>534</v>
      </c>
      <c r="K19" s="2" t="s">
        <v>535</v>
      </c>
    </row>
    <row r="20" spans="1:11" x14ac:dyDescent="0.3">
      <c r="A20" s="2" t="s">
        <v>93</v>
      </c>
      <c r="B20" s="2" t="s">
        <v>527</v>
      </c>
      <c r="C20" s="2" t="s">
        <v>536</v>
      </c>
      <c r="D20" s="2" t="s">
        <v>490</v>
      </c>
      <c r="E20" s="4">
        <v>27538</v>
      </c>
      <c r="F20" s="2">
        <v>8618058864</v>
      </c>
      <c r="G20" s="2" t="s">
        <v>478</v>
      </c>
      <c r="H20" s="4">
        <v>45101</v>
      </c>
      <c r="I20" s="2" t="s">
        <v>479</v>
      </c>
      <c r="J20" s="2" t="s">
        <v>537</v>
      </c>
      <c r="K20" s="2" t="s">
        <v>538</v>
      </c>
    </row>
    <row r="21" spans="1:11" x14ac:dyDescent="0.3">
      <c r="A21" s="2" t="s">
        <v>112</v>
      </c>
      <c r="B21" s="2" t="s">
        <v>531</v>
      </c>
      <c r="C21" s="2" t="s">
        <v>539</v>
      </c>
      <c r="D21" s="2" t="s">
        <v>477</v>
      </c>
      <c r="E21" s="4">
        <v>37778</v>
      </c>
      <c r="F21" s="2">
        <v>8158989953</v>
      </c>
      <c r="G21" s="2" t="s">
        <v>478</v>
      </c>
      <c r="H21" s="4">
        <v>44654</v>
      </c>
      <c r="I21" s="2" t="s">
        <v>500</v>
      </c>
      <c r="J21" s="2" t="s">
        <v>540</v>
      </c>
      <c r="K21" s="2" t="s">
        <v>541</v>
      </c>
    </row>
    <row r="22" spans="1:11" x14ac:dyDescent="0.3">
      <c r="A22" s="2" t="s">
        <v>74</v>
      </c>
      <c r="B22" s="2" t="s">
        <v>493</v>
      </c>
      <c r="C22" s="2" t="s">
        <v>499</v>
      </c>
      <c r="D22" s="2" t="s">
        <v>490</v>
      </c>
      <c r="E22" s="4">
        <v>37316</v>
      </c>
      <c r="F22" s="2">
        <v>7765390555</v>
      </c>
      <c r="G22" s="2" t="s">
        <v>484</v>
      </c>
      <c r="H22" s="4">
        <v>44580</v>
      </c>
      <c r="I22" s="2" t="s">
        <v>479</v>
      </c>
      <c r="J22" s="2" t="s">
        <v>542</v>
      </c>
      <c r="K22" s="2" t="s">
        <v>543</v>
      </c>
    </row>
    <row r="23" spans="1:11" x14ac:dyDescent="0.3">
      <c r="A23" s="2" t="s">
        <v>36</v>
      </c>
      <c r="B23" s="2" t="s">
        <v>544</v>
      </c>
      <c r="C23" s="2" t="s">
        <v>545</v>
      </c>
      <c r="D23" s="2" t="s">
        <v>490</v>
      </c>
      <c r="E23" s="4">
        <v>20219</v>
      </c>
      <c r="F23" s="2">
        <v>6221099573</v>
      </c>
      <c r="G23" s="2" t="s">
        <v>484</v>
      </c>
      <c r="H23" s="4">
        <v>44327</v>
      </c>
      <c r="I23" s="2" t="s">
        <v>500</v>
      </c>
      <c r="J23" s="2" t="s">
        <v>546</v>
      </c>
      <c r="K23" s="2" t="s">
        <v>547</v>
      </c>
    </row>
    <row r="24" spans="1:11" x14ac:dyDescent="0.3">
      <c r="A24" s="2" t="s">
        <v>83</v>
      </c>
      <c r="B24" s="2" t="s">
        <v>504</v>
      </c>
      <c r="C24" s="2" t="s">
        <v>494</v>
      </c>
      <c r="D24" s="2" t="s">
        <v>490</v>
      </c>
      <c r="E24" s="4">
        <v>34387</v>
      </c>
      <c r="F24" s="2">
        <v>6141951830</v>
      </c>
      <c r="G24" s="2" t="s">
        <v>478</v>
      </c>
      <c r="H24" s="4">
        <v>44557</v>
      </c>
      <c r="I24" s="2" t="s">
        <v>479</v>
      </c>
      <c r="J24" s="2" t="s">
        <v>548</v>
      </c>
      <c r="K24" s="2" t="s">
        <v>549</v>
      </c>
    </row>
    <row r="25" spans="1:11" x14ac:dyDescent="0.3">
      <c r="A25" s="2" t="s">
        <v>102</v>
      </c>
      <c r="B25" s="2" t="s">
        <v>527</v>
      </c>
      <c r="C25" s="2" t="s">
        <v>545</v>
      </c>
      <c r="D25" s="2" t="s">
        <v>477</v>
      </c>
      <c r="E25" s="4">
        <v>33546</v>
      </c>
      <c r="F25" s="2">
        <v>7196777444</v>
      </c>
      <c r="G25" s="2" t="s">
        <v>484</v>
      </c>
      <c r="H25" s="4">
        <v>44441</v>
      </c>
      <c r="I25" s="2" t="s">
        <v>479</v>
      </c>
      <c r="J25" s="2" t="s">
        <v>550</v>
      </c>
      <c r="K25" s="2" t="s">
        <v>551</v>
      </c>
    </row>
    <row r="26" spans="1:11" x14ac:dyDescent="0.3">
      <c r="A26" s="2" t="s">
        <v>14</v>
      </c>
      <c r="B26" s="2" t="s">
        <v>552</v>
      </c>
      <c r="C26" s="2" t="s">
        <v>499</v>
      </c>
      <c r="D26" s="2" t="s">
        <v>490</v>
      </c>
      <c r="E26" s="4">
        <v>24333</v>
      </c>
      <c r="F26" s="2">
        <v>7482069727</v>
      </c>
      <c r="G26" s="2" t="s">
        <v>495</v>
      </c>
      <c r="H26" s="4">
        <v>44448</v>
      </c>
      <c r="I26" s="2" t="s">
        <v>496</v>
      </c>
      <c r="J26" s="2" t="s">
        <v>553</v>
      </c>
      <c r="K26" s="2" t="s">
        <v>554</v>
      </c>
    </row>
    <row r="27" spans="1:11" x14ac:dyDescent="0.3">
      <c r="A27" s="2" t="s">
        <v>45</v>
      </c>
      <c r="B27" s="2" t="s">
        <v>544</v>
      </c>
      <c r="C27" s="2" t="s">
        <v>516</v>
      </c>
      <c r="D27" s="2" t="s">
        <v>490</v>
      </c>
      <c r="E27" s="4">
        <v>37953</v>
      </c>
      <c r="F27" s="2">
        <v>9900972256</v>
      </c>
      <c r="G27" s="2" t="s">
        <v>495</v>
      </c>
      <c r="H27" s="4">
        <v>44329</v>
      </c>
      <c r="I27" s="2" t="s">
        <v>500</v>
      </c>
      <c r="J27" s="2" t="s">
        <v>555</v>
      </c>
      <c r="K27" s="2" t="s">
        <v>556</v>
      </c>
    </row>
    <row r="28" spans="1:11" x14ac:dyDescent="0.3">
      <c r="A28" s="2" t="s">
        <v>110</v>
      </c>
      <c r="B28" s="2" t="s">
        <v>504</v>
      </c>
      <c r="C28" s="2" t="s">
        <v>539</v>
      </c>
      <c r="D28" s="2" t="s">
        <v>477</v>
      </c>
      <c r="E28" s="4">
        <v>35975</v>
      </c>
      <c r="F28" s="2">
        <v>8724518272</v>
      </c>
      <c r="G28" s="2" t="s">
        <v>484</v>
      </c>
      <c r="H28" s="4">
        <v>44423</v>
      </c>
      <c r="I28" s="2" t="s">
        <v>496</v>
      </c>
      <c r="J28" s="2" t="s">
        <v>557</v>
      </c>
      <c r="K28" s="2" t="s">
        <v>558</v>
      </c>
    </row>
    <row r="29" spans="1:11" x14ac:dyDescent="0.3">
      <c r="A29" s="2" t="s">
        <v>56</v>
      </c>
      <c r="B29" s="2" t="s">
        <v>507</v>
      </c>
      <c r="C29" s="2" t="s">
        <v>539</v>
      </c>
      <c r="D29" s="2" t="s">
        <v>490</v>
      </c>
      <c r="E29" s="4">
        <v>34072</v>
      </c>
      <c r="F29" s="2">
        <v>7028910482</v>
      </c>
      <c r="G29" s="2" t="s">
        <v>484</v>
      </c>
      <c r="H29" s="4">
        <v>45066</v>
      </c>
      <c r="I29" s="2" t="s">
        <v>500</v>
      </c>
      <c r="J29" s="2" t="s">
        <v>559</v>
      </c>
      <c r="K29" s="2" t="s">
        <v>560</v>
      </c>
    </row>
    <row r="30" spans="1:11" x14ac:dyDescent="0.3">
      <c r="A30" s="2" t="s">
        <v>38</v>
      </c>
      <c r="B30" s="2" t="s">
        <v>475</v>
      </c>
      <c r="C30" s="2" t="s">
        <v>483</v>
      </c>
      <c r="D30" s="2" t="s">
        <v>490</v>
      </c>
      <c r="E30" s="4">
        <v>38487</v>
      </c>
      <c r="F30" s="2">
        <v>8923607677</v>
      </c>
      <c r="G30" s="2" t="s">
        <v>478</v>
      </c>
      <c r="H30" s="4">
        <v>45035</v>
      </c>
      <c r="I30" s="2" t="s">
        <v>496</v>
      </c>
      <c r="J30" s="2" t="s">
        <v>561</v>
      </c>
      <c r="K30" s="2" t="s">
        <v>562</v>
      </c>
    </row>
    <row r="31" spans="1:11" x14ac:dyDescent="0.3">
      <c r="A31" s="2" t="s">
        <v>63</v>
      </c>
      <c r="B31" s="2" t="s">
        <v>482</v>
      </c>
      <c r="C31" s="2" t="s">
        <v>539</v>
      </c>
      <c r="D31" s="2" t="s">
        <v>490</v>
      </c>
      <c r="E31" s="4">
        <v>23734</v>
      </c>
      <c r="F31" s="2">
        <v>6622318721</v>
      </c>
      <c r="G31" s="2" t="s">
        <v>511</v>
      </c>
      <c r="H31" s="4">
        <v>44415</v>
      </c>
      <c r="I31" s="2" t="s">
        <v>485</v>
      </c>
      <c r="J31" s="2" t="s">
        <v>563</v>
      </c>
      <c r="K31" s="2" t="s">
        <v>564</v>
      </c>
    </row>
    <row r="32" spans="1:11" x14ac:dyDescent="0.3">
      <c r="A32" s="2" t="s">
        <v>90</v>
      </c>
      <c r="B32" s="2" t="s">
        <v>552</v>
      </c>
      <c r="C32" s="2" t="s">
        <v>536</v>
      </c>
      <c r="D32" s="2" t="s">
        <v>490</v>
      </c>
      <c r="E32" s="4">
        <v>31791</v>
      </c>
      <c r="F32" s="2">
        <v>8280346676</v>
      </c>
      <c r="G32" s="2" t="s">
        <v>484</v>
      </c>
      <c r="H32" s="4">
        <v>44740</v>
      </c>
      <c r="I32" s="2" t="s">
        <v>479</v>
      </c>
      <c r="J32" s="2" t="s">
        <v>565</v>
      </c>
      <c r="K32" s="2" t="s">
        <v>566</v>
      </c>
    </row>
    <row r="33" spans="1:11" x14ac:dyDescent="0.3">
      <c r="A33" s="2" t="s">
        <v>6</v>
      </c>
      <c r="B33" s="2" t="s">
        <v>507</v>
      </c>
      <c r="C33" s="2" t="s">
        <v>539</v>
      </c>
      <c r="D33" s="2" t="s">
        <v>490</v>
      </c>
      <c r="E33" s="4">
        <v>29594</v>
      </c>
      <c r="F33" s="2">
        <v>8102183595</v>
      </c>
      <c r="G33" s="2" t="s">
        <v>495</v>
      </c>
      <c r="H33" s="4">
        <v>44471</v>
      </c>
      <c r="I33" s="2" t="s">
        <v>500</v>
      </c>
      <c r="J33" s="2" t="s">
        <v>567</v>
      </c>
      <c r="K33" s="2" t="s">
        <v>560</v>
      </c>
    </row>
    <row r="34" spans="1:11" x14ac:dyDescent="0.3">
      <c r="A34" s="2" t="s">
        <v>79</v>
      </c>
      <c r="B34" s="2" t="s">
        <v>493</v>
      </c>
      <c r="C34" s="2" t="s">
        <v>499</v>
      </c>
      <c r="D34" s="2" t="s">
        <v>477</v>
      </c>
      <c r="E34" s="4">
        <v>25605</v>
      </c>
      <c r="F34" s="2">
        <v>7923214041</v>
      </c>
      <c r="G34" s="2" t="s">
        <v>478</v>
      </c>
      <c r="H34" s="4">
        <v>45175</v>
      </c>
      <c r="I34" s="2" t="s">
        <v>500</v>
      </c>
      <c r="J34" s="2" t="s">
        <v>568</v>
      </c>
      <c r="K34" s="2" t="s">
        <v>543</v>
      </c>
    </row>
    <row r="35" spans="1:11" x14ac:dyDescent="0.3">
      <c r="A35" s="2" t="s">
        <v>1</v>
      </c>
      <c r="B35" s="2" t="s">
        <v>507</v>
      </c>
      <c r="C35" s="2" t="s">
        <v>483</v>
      </c>
      <c r="D35" s="2" t="s">
        <v>477</v>
      </c>
      <c r="E35" s="4">
        <v>18289</v>
      </c>
      <c r="F35" s="2">
        <v>8374657733</v>
      </c>
      <c r="G35" s="2" t="s">
        <v>484</v>
      </c>
      <c r="H35" s="4">
        <v>45095</v>
      </c>
      <c r="I35" s="2" t="s">
        <v>479</v>
      </c>
      <c r="J35" s="2" t="s">
        <v>569</v>
      </c>
      <c r="K35" s="2" t="s">
        <v>570</v>
      </c>
    </row>
    <row r="36" spans="1:11" x14ac:dyDescent="0.3">
      <c r="A36" s="2" t="s">
        <v>118</v>
      </c>
      <c r="B36" s="2" t="s">
        <v>475</v>
      </c>
      <c r="C36" s="2" t="s">
        <v>499</v>
      </c>
      <c r="D36" s="2" t="s">
        <v>477</v>
      </c>
      <c r="E36" s="4">
        <v>34072</v>
      </c>
      <c r="F36" s="2">
        <v>7039619487</v>
      </c>
      <c r="G36" s="2" t="s">
        <v>495</v>
      </c>
      <c r="H36" s="4">
        <v>45116</v>
      </c>
      <c r="I36" s="2" t="s">
        <v>500</v>
      </c>
      <c r="J36" s="2" t="s">
        <v>571</v>
      </c>
      <c r="K36" s="2" t="s">
        <v>502</v>
      </c>
    </row>
    <row r="37" spans="1:11" x14ac:dyDescent="0.3">
      <c r="A37" s="2" t="s">
        <v>77</v>
      </c>
      <c r="B37" s="2" t="s">
        <v>493</v>
      </c>
      <c r="C37" s="2" t="s">
        <v>499</v>
      </c>
      <c r="D37" s="2" t="s">
        <v>490</v>
      </c>
      <c r="E37" s="4">
        <v>35790</v>
      </c>
      <c r="F37" s="2">
        <v>8545613046</v>
      </c>
      <c r="G37" s="2" t="s">
        <v>495</v>
      </c>
      <c r="H37" s="4">
        <v>44838</v>
      </c>
      <c r="I37" s="2" t="s">
        <v>500</v>
      </c>
      <c r="J37" s="2" t="s">
        <v>572</v>
      </c>
      <c r="K37" s="2" t="s">
        <v>543</v>
      </c>
    </row>
    <row r="38" spans="1:11" x14ac:dyDescent="0.3">
      <c r="A38" s="2" t="s">
        <v>49</v>
      </c>
      <c r="B38" s="2" t="s">
        <v>552</v>
      </c>
      <c r="C38" s="2" t="s">
        <v>476</v>
      </c>
      <c r="D38" s="2" t="s">
        <v>490</v>
      </c>
      <c r="E38" s="4">
        <v>36196</v>
      </c>
      <c r="F38" s="2">
        <v>8886800195</v>
      </c>
      <c r="G38" s="2" t="s">
        <v>511</v>
      </c>
      <c r="H38" s="4">
        <v>44469</v>
      </c>
      <c r="I38" s="2" t="s">
        <v>496</v>
      </c>
      <c r="J38" s="2" t="s">
        <v>573</v>
      </c>
      <c r="K38" s="2" t="s">
        <v>574</v>
      </c>
    </row>
    <row r="39" spans="1:11" x14ac:dyDescent="0.3">
      <c r="A39" s="2" t="s">
        <v>245</v>
      </c>
      <c r="B39" s="2" t="s">
        <v>475</v>
      </c>
      <c r="C39" s="2" t="s">
        <v>483</v>
      </c>
      <c r="D39" s="2" t="s">
        <v>490</v>
      </c>
      <c r="E39" s="4">
        <v>33414</v>
      </c>
      <c r="F39" s="2">
        <v>6347262390</v>
      </c>
      <c r="G39" s="2" t="s">
        <v>478</v>
      </c>
      <c r="H39" s="4">
        <v>44305</v>
      </c>
      <c r="I39" s="2" t="s">
        <v>500</v>
      </c>
      <c r="J39" s="2" t="s">
        <v>575</v>
      </c>
      <c r="K39" s="2" t="s">
        <v>562</v>
      </c>
    </row>
    <row r="40" spans="1:11" x14ac:dyDescent="0.3">
      <c r="A40" s="2" t="s">
        <v>30</v>
      </c>
      <c r="B40" s="2" t="s">
        <v>531</v>
      </c>
      <c r="C40" s="2" t="s">
        <v>499</v>
      </c>
      <c r="D40" s="2" t="s">
        <v>477</v>
      </c>
      <c r="E40" s="4">
        <v>18609</v>
      </c>
      <c r="F40" s="2">
        <v>9271131338</v>
      </c>
      <c r="G40" s="2" t="s">
        <v>478</v>
      </c>
      <c r="H40" s="4">
        <v>44264</v>
      </c>
      <c r="I40" s="2" t="s">
        <v>485</v>
      </c>
      <c r="J40" s="2" t="s">
        <v>576</v>
      </c>
      <c r="K40" s="2" t="s">
        <v>577</v>
      </c>
    </row>
    <row r="41" spans="1:11" x14ac:dyDescent="0.3">
      <c r="A41" s="2" t="s">
        <v>17</v>
      </c>
      <c r="B41" s="2" t="s">
        <v>482</v>
      </c>
      <c r="C41" s="2" t="s">
        <v>476</v>
      </c>
      <c r="D41" s="2" t="s">
        <v>490</v>
      </c>
      <c r="E41" s="4">
        <v>26449</v>
      </c>
      <c r="F41" s="2">
        <v>7587653815</v>
      </c>
      <c r="G41" s="2" t="s">
        <v>511</v>
      </c>
      <c r="H41" s="4">
        <v>44485</v>
      </c>
      <c r="I41" s="2" t="s">
        <v>485</v>
      </c>
      <c r="J41" s="2" t="s">
        <v>578</v>
      </c>
      <c r="K41" s="2" t="s">
        <v>579</v>
      </c>
    </row>
    <row r="42" spans="1:11" x14ac:dyDescent="0.3">
      <c r="A42" s="2" t="s">
        <v>154</v>
      </c>
      <c r="B42" s="2" t="s">
        <v>552</v>
      </c>
      <c r="C42" s="2" t="s">
        <v>476</v>
      </c>
      <c r="D42" s="2" t="s">
        <v>490</v>
      </c>
      <c r="E42" s="4">
        <v>18798</v>
      </c>
      <c r="F42" s="2">
        <v>7020645498</v>
      </c>
      <c r="G42" s="2" t="s">
        <v>511</v>
      </c>
      <c r="H42" s="4">
        <v>44758</v>
      </c>
      <c r="I42" s="2" t="s">
        <v>479</v>
      </c>
      <c r="J42" s="2" t="s">
        <v>580</v>
      </c>
      <c r="K42" s="2" t="s">
        <v>574</v>
      </c>
    </row>
    <row r="43" spans="1:11" x14ac:dyDescent="0.3">
      <c r="A43" s="2" t="s">
        <v>227</v>
      </c>
      <c r="B43" s="2" t="s">
        <v>531</v>
      </c>
      <c r="C43" s="2" t="s">
        <v>483</v>
      </c>
      <c r="D43" s="2" t="s">
        <v>477</v>
      </c>
      <c r="E43" s="4">
        <v>19958</v>
      </c>
      <c r="F43" s="2">
        <v>7040069008</v>
      </c>
      <c r="G43" s="2" t="s">
        <v>478</v>
      </c>
      <c r="H43" s="4">
        <v>44635</v>
      </c>
      <c r="I43" s="2" t="s">
        <v>500</v>
      </c>
      <c r="J43" s="2" t="s">
        <v>581</v>
      </c>
      <c r="K43" s="2" t="s">
        <v>582</v>
      </c>
    </row>
    <row r="44" spans="1:11" x14ac:dyDescent="0.3">
      <c r="A44" s="2" t="s">
        <v>122</v>
      </c>
      <c r="B44" s="2" t="s">
        <v>504</v>
      </c>
      <c r="C44" s="2" t="s">
        <v>545</v>
      </c>
      <c r="D44" s="2" t="s">
        <v>490</v>
      </c>
      <c r="E44" s="4">
        <v>29305</v>
      </c>
      <c r="F44" s="2">
        <v>9127665406</v>
      </c>
      <c r="G44" s="2" t="s">
        <v>478</v>
      </c>
      <c r="H44" s="4">
        <v>44760</v>
      </c>
      <c r="I44" s="2" t="s">
        <v>479</v>
      </c>
      <c r="J44" s="2" t="s">
        <v>583</v>
      </c>
      <c r="K44" s="2" t="s">
        <v>584</v>
      </c>
    </row>
    <row r="45" spans="1:11" x14ac:dyDescent="0.3">
      <c r="A45" s="2" t="s">
        <v>132</v>
      </c>
      <c r="B45" s="2" t="s">
        <v>552</v>
      </c>
      <c r="C45" s="2" t="s">
        <v>516</v>
      </c>
      <c r="D45" s="2" t="s">
        <v>477</v>
      </c>
      <c r="E45" s="4">
        <v>27830</v>
      </c>
      <c r="F45" s="2">
        <v>9449458981</v>
      </c>
      <c r="G45" s="2" t="s">
        <v>484</v>
      </c>
      <c r="H45" s="4">
        <v>44952</v>
      </c>
      <c r="I45" s="2" t="s">
        <v>485</v>
      </c>
      <c r="J45" s="2" t="s">
        <v>585</v>
      </c>
      <c r="K45" s="2" t="s">
        <v>586</v>
      </c>
    </row>
    <row r="46" spans="1:11" x14ac:dyDescent="0.3">
      <c r="A46" s="2" t="s">
        <v>21</v>
      </c>
      <c r="B46" s="2" t="s">
        <v>504</v>
      </c>
      <c r="C46" s="2" t="s">
        <v>536</v>
      </c>
      <c r="D46" s="2" t="s">
        <v>477</v>
      </c>
      <c r="E46" s="4">
        <v>24222</v>
      </c>
      <c r="F46" s="2">
        <v>7579616535</v>
      </c>
      <c r="G46" s="2" t="s">
        <v>484</v>
      </c>
      <c r="H46" s="4">
        <v>44219</v>
      </c>
      <c r="I46" s="2" t="s">
        <v>500</v>
      </c>
      <c r="J46" s="2" t="s">
        <v>587</v>
      </c>
      <c r="K46" s="2" t="s">
        <v>588</v>
      </c>
    </row>
    <row r="47" spans="1:11" x14ac:dyDescent="0.3">
      <c r="A47" s="2" t="s">
        <v>65</v>
      </c>
      <c r="B47" s="2" t="s">
        <v>493</v>
      </c>
      <c r="C47" s="2" t="s">
        <v>516</v>
      </c>
      <c r="D47" s="2" t="s">
        <v>477</v>
      </c>
      <c r="E47" s="4">
        <v>31656</v>
      </c>
      <c r="F47" s="2">
        <v>8019925828</v>
      </c>
      <c r="G47" s="2" t="s">
        <v>511</v>
      </c>
      <c r="H47" s="4">
        <v>44408</v>
      </c>
      <c r="I47" s="2" t="s">
        <v>500</v>
      </c>
      <c r="J47" s="2" t="s">
        <v>589</v>
      </c>
      <c r="K47" s="2" t="s">
        <v>518</v>
      </c>
    </row>
    <row r="48" spans="1:11" x14ac:dyDescent="0.3">
      <c r="A48" s="2" t="s">
        <v>59</v>
      </c>
      <c r="B48" s="2" t="s">
        <v>531</v>
      </c>
      <c r="C48" s="2" t="s">
        <v>539</v>
      </c>
      <c r="D48" s="2" t="s">
        <v>490</v>
      </c>
      <c r="E48" s="4">
        <v>35046</v>
      </c>
      <c r="F48" s="2">
        <v>8715732851</v>
      </c>
      <c r="G48" s="2" t="s">
        <v>484</v>
      </c>
      <c r="H48" s="4">
        <v>44701</v>
      </c>
      <c r="I48" s="2" t="s">
        <v>479</v>
      </c>
      <c r="J48" s="2" t="s">
        <v>590</v>
      </c>
      <c r="K48" s="2" t="s">
        <v>541</v>
      </c>
    </row>
    <row r="49" spans="1:11" x14ac:dyDescent="0.3">
      <c r="A49" s="2" t="s">
        <v>10</v>
      </c>
      <c r="B49" s="2" t="s">
        <v>482</v>
      </c>
      <c r="C49" s="2" t="s">
        <v>536</v>
      </c>
      <c r="D49" s="2" t="s">
        <v>490</v>
      </c>
      <c r="E49" s="4">
        <v>30399</v>
      </c>
      <c r="F49" s="2">
        <v>8720989381</v>
      </c>
      <c r="G49" s="2" t="s">
        <v>495</v>
      </c>
      <c r="H49" s="4">
        <v>45096</v>
      </c>
      <c r="I49" s="2" t="s">
        <v>485</v>
      </c>
      <c r="J49" s="2" t="s">
        <v>591</v>
      </c>
      <c r="K49" s="2" t="s">
        <v>592</v>
      </c>
    </row>
    <row r="50" spans="1:11" x14ac:dyDescent="0.3">
      <c r="A50" s="2" t="s">
        <v>61</v>
      </c>
      <c r="B50" s="2" t="s">
        <v>475</v>
      </c>
      <c r="C50" s="2" t="s">
        <v>539</v>
      </c>
      <c r="D50" s="2" t="s">
        <v>490</v>
      </c>
      <c r="E50" s="4">
        <v>26629</v>
      </c>
      <c r="F50" s="2">
        <v>7712937941</v>
      </c>
      <c r="G50" s="2" t="s">
        <v>484</v>
      </c>
      <c r="H50" s="4">
        <v>45091</v>
      </c>
      <c r="I50" s="2" t="s">
        <v>500</v>
      </c>
      <c r="J50" s="2" t="s">
        <v>593</v>
      </c>
      <c r="K50" s="2" t="s">
        <v>594</v>
      </c>
    </row>
    <row r="51" spans="1:11" x14ac:dyDescent="0.3">
      <c r="A51" s="2" t="s">
        <v>116</v>
      </c>
      <c r="B51" s="2" t="s">
        <v>488</v>
      </c>
      <c r="C51" s="2" t="s">
        <v>499</v>
      </c>
      <c r="D51" s="2" t="s">
        <v>490</v>
      </c>
      <c r="E51" s="4">
        <v>34330</v>
      </c>
      <c r="F51" s="2">
        <v>8301134730</v>
      </c>
      <c r="G51" s="2" t="s">
        <v>484</v>
      </c>
      <c r="H51" s="4">
        <v>45044</v>
      </c>
      <c r="I51" s="2" t="s">
        <v>479</v>
      </c>
      <c r="J51" s="2" t="s">
        <v>595</v>
      </c>
      <c r="K51" s="2" t="s">
        <v>535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3BF6-D3E3-4DCA-90A7-E7399E9FACB8}">
  <dimension ref="A3:C20"/>
  <sheetViews>
    <sheetView workbookViewId="0">
      <selection activeCell="A3" sqref="A3"/>
    </sheetView>
  </sheetViews>
  <sheetFormatPr defaultRowHeight="14.4" x14ac:dyDescent="0.3"/>
  <sheetData>
    <row r="3" spans="1:3" x14ac:dyDescent="0.3">
      <c r="A3" s="8"/>
      <c r="B3" s="9"/>
      <c r="C3" s="10"/>
    </row>
    <row r="4" spans="1:3" x14ac:dyDescent="0.3">
      <c r="A4" s="11"/>
      <c r="B4" s="12"/>
      <c r="C4" s="13"/>
    </row>
    <row r="5" spans="1:3" x14ac:dyDescent="0.3">
      <c r="A5" s="11"/>
      <c r="B5" s="12"/>
      <c r="C5" s="13"/>
    </row>
    <row r="6" spans="1:3" x14ac:dyDescent="0.3">
      <c r="A6" s="11"/>
      <c r="B6" s="12"/>
      <c r="C6" s="13"/>
    </row>
    <row r="7" spans="1:3" x14ac:dyDescent="0.3">
      <c r="A7" s="11"/>
      <c r="B7" s="12"/>
      <c r="C7" s="13"/>
    </row>
    <row r="8" spans="1:3" x14ac:dyDescent="0.3">
      <c r="A8" s="11"/>
      <c r="B8" s="12"/>
      <c r="C8" s="13"/>
    </row>
    <row r="9" spans="1:3" x14ac:dyDescent="0.3">
      <c r="A9" s="11"/>
      <c r="B9" s="12"/>
      <c r="C9" s="13"/>
    </row>
    <row r="10" spans="1:3" x14ac:dyDescent="0.3">
      <c r="A10" s="11"/>
      <c r="B10" s="12"/>
      <c r="C10" s="13"/>
    </row>
    <row r="11" spans="1:3" x14ac:dyDescent="0.3">
      <c r="A11" s="11"/>
      <c r="B11" s="12"/>
      <c r="C11" s="13"/>
    </row>
    <row r="12" spans="1:3" x14ac:dyDescent="0.3">
      <c r="A12" s="11"/>
      <c r="B12" s="12"/>
      <c r="C12" s="13"/>
    </row>
    <row r="13" spans="1:3" x14ac:dyDescent="0.3">
      <c r="A13" s="11"/>
      <c r="B13" s="12"/>
      <c r="C13" s="13"/>
    </row>
    <row r="14" spans="1:3" x14ac:dyDescent="0.3">
      <c r="A14" s="11"/>
      <c r="B14" s="12"/>
      <c r="C14" s="13"/>
    </row>
    <row r="15" spans="1:3" x14ac:dyDescent="0.3">
      <c r="A15" s="11"/>
      <c r="B15" s="12"/>
      <c r="C15" s="13"/>
    </row>
    <row r="16" spans="1:3" x14ac:dyDescent="0.3">
      <c r="A16" s="11"/>
      <c r="B16" s="12"/>
      <c r="C16" s="13"/>
    </row>
    <row r="17" spans="1:3" x14ac:dyDescent="0.3">
      <c r="A17" s="11"/>
      <c r="B17" s="12"/>
      <c r="C17" s="13"/>
    </row>
    <row r="18" spans="1:3" x14ac:dyDescent="0.3">
      <c r="A18" s="11"/>
      <c r="B18" s="12"/>
      <c r="C18" s="13"/>
    </row>
    <row r="19" spans="1:3" x14ac:dyDescent="0.3">
      <c r="A19" s="11"/>
      <c r="B19" s="12"/>
      <c r="C19" s="13"/>
    </row>
    <row r="20" spans="1:3" x14ac:dyDescent="0.3">
      <c r="A20" s="14"/>
      <c r="B20" s="15"/>
      <c r="C20" s="1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9A4C5-B05C-447D-BA31-36750A6A7F5D}">
  <dimension ref="A1:J201"/>
  <sheetViews>
    <sheetView topLeftCell="A7" workbookViewId="0">
      <selection activeCell="I13" sqref="I13"/>
    </sheetView>
  </sheetViews>
  <sheetFormatPr defaultRowHeight="14.4" x14ac:dyDescent="0.3"/>
  <cols>
    <col min="1" max="1" width="11.6640625" bestFit="1" customWidth="1"/>
    <col min="2" max="2" width="14" bestFit="1" customWidth="1"/>
    <col min="3" max="3" width="13.88671875" bestFit="1" customWidth="1"/>
    <col min="4" max="4" width="17.21875" bestFit="1" customWidth="1"/>
    <col min="5" max="5" width="8" bestFit="1" customWidth="1"/>
    <col min="6" max="6" width="14" bestFit="1" customWidth="1"/>
  </cols>
  <sheetData>
    <row r="1" spans="1:9" x14ac:dyDescent="0.3">
      <c r="A1" s="3" t="s">
        <v>820</v>
      </c>
      <c r="B1" s="3" t="s">
        <v>825</v>
      </c>
      <c r="C1" s="3" t="s">
        <v>831</v>
      </c>
      <c r="D1" s="3" t="s">
        <v>832</v>
      </c>
      <c r="E1" s="3" t="s">
        <v>833</v>
      </c>
      <c r="F1" s="3" t="s">
        <v>834</v>
      </c>
    </row>
    <row r="2" spans="1:9" x14ac:dyDescent="0.3">
      <c r="A2" s="2" t="s">
        <v>267</v>
      </c>
      <c r="B2" s="2" t="s">
        <v>0</v>
      </c>
      <c r="C2" s="2" t="s">
        <v>268</v>
      </c>
      <c r="D2" s="2" t="s">
        <v>269</v>
      </c>
      <c r="E2" s="2">
        <v>3941.97</v>
      </c>
      <c r="F2" s="4">
        <v>45147</v>
      </c>
    </row>
    <row r="3" spans="1:9" x14ac:dyDescent="0.3">
      <c r="A3" s="2" t="s">
        <v>270</v>
      </c>
      <c r="B3" s="2" t="s">
        <v>5</v>
      </c>
      <c r="C3" s="2" t="s">
        <v>271</v>
      </c>
      <c r="D3" s="2" t="s">
        <v>272</v>
      </c>
      <c r="E3" s="2">
        <v>4158.4399999999996</v>
      </c>
      <c r="F3" s="4">
        <v>45086</v>
      </c>
    </row>
    <row r="4" spans="1:9" x14ac:dyDescent="0.3">
      <c r="A4" s="2" t="s">
        <v>273</v>
      </c>
      <c r="B4" s="2" t="s">
        <v>9</v>
      </c>
      <c r="C4" s="2" t="s">
        <v>271</v>
      </c>
      <c r="D4" s="2" t="s">
        <v>274</v>
      </c>
      <c r="E4" s="2">
        <v>3731.55</v>
      </c>
      <c r="F4" s="4">
        <v>45105</v>
      </c>
    </row>
    <row r="5" spans="1:9" x14ac:dyDescent="0.3">
      <c r="A5" s="2" t="s">
        <v>275</v>
      </c>
      <c r="B5" s="2" t="s">
        <v>13</v>
      </c>
      <c r="C5" s="2" t="s">
        <v>271</v>
      </c>
      <c r="D5" s="2" t="s">
        <v>269</v>
      </c>
      <c r="E5" s="2">
        <v>4799.8599999999997</v>
      </c>
      <c r="F5" s="4">
        <v>45170</v>
      </c>
    </row>
    <row r="6" spans="1:9" x14ac:dyDescent="0.3">
      <c r="A6" s="2" t="s">
        <v>276</v>
      </c>
      <c r="B6" s="2" t="s">
        <v>16</v>
      </c>
      <c r="C6" s="2" t="s">
        <v>277</v>
      </c>
      <c r="D6" s="2" t="s">
        <v>274</v>
      </c>
      <c r="E6" s="2">
        <v>582.04999999999995</v>
      </c>
      <c r="F6" s="4">
        <v>45113</v>
      </c>
      <c r="H6">
        <f>AVERAGE(E2:E201)</f>
        <v>2756.2492500000003</v>
      </c>
    </row>
    <row r="7" spans="1:9" x14ac:dyDescent="0.3">
      <c r="A7" s="2" t="s">
        <v>278</v>
      </c>
      <c r="B7" s="2" t="s">
        <v>20</v>
      </c>
      <c r="C7" s="2" t="s">
        <v>268</v>
      </c>
      <c r="D7" s="2" t="s">
        <v>274</v>
      </c>
      <c r="E7" s="2">
        <v>1381</v>
      </c>
      <c r="F7" s="4">
        <v>45096</v>
      </c>
    </row>
    <row r="8" spans="1:9" x14ac:dyDescent="0.3">
      <c r="A8" s="2" t="s">
        <v>279</v>
      </c>
      <c r="B8" s="2" t="s">
        <v>23</v>
      </c>
      <c r="C8" s="2" t="s">
        <v>268</v>
      </c>
      <c r="D8" s="2" t="s">
        <v>272</v>
      </c>
      <c r="E8" s="2">
        <v>534.03</v>
      </c>
      <c r="F8" s="4">
        <v>45025</v>
      </c>
    </row>
    <row r="9" spans="1:9" x14ac:dyDescent="0.3">
      <c r="A9" s="2" t="s">
        <v>280</v>
      </c>
      <c r="B9" s="2" t="s">
        <v>26</v>
      </c>
      <c r="C9" s="2" t="s">
        <v>281</v>
      </c>
      <c r="D9" s="2" t="s">
        <v>269</v>
      </c>
      <c r="E9" s="2">
        <v>3413.64</v>
      </c>
      <c r="F9" s="4">
        <v>45070</v>
      </c>
    </row>
    <row r="10" spans="1:9" x14ac:dyDescent="0.3">
      <c r="A10" s="2" t="s">
        <v>282</v>
      </c>
      <c r="B10" s="2" t="s">
        <v>29</v>
      </c>
      <c r="C10" s="2" t="s">
        <v>281</v>
      </c>
      <c r="D10" s="2" t="s">
        <v>274</v>
      </c>
      <c r="E10" s="2">
        <v>4541.1400000000003</v>
      </c>
      <c r="F10" s="4">
        <v>44990</v>
      </c>
      <c r="H10">
        <f>AVERAGE(E2:E201)</f>
        <v>2756.2492500000003</v>
      </c>
    </row>
    <row r="11" spans="1:9" x14ac:dyDescent="0.3">
      <c r="A11" s="2" t="s">
        <v>283</v>
      </c>
      <c r="B11" s="2" t="s">
        <v>32</v>
      </c>
      <c r="C11" s="2" t="s">
        <v>281</v>
      </c>
      <c r="D11" s="2" t="s">
        <v>274</v>
      </c>
      <c r="E11" s="2">
        <v>1595.67</v>
      </c>
      <c r="F11" s="4">
        <v>44939</v>
      </c>
    </row>
    <row r="12" spans="1:9" x14ac:dyDescent="0.3">
      <c r="A12" s="2" t="s">
        <v>284</v>
      </c>
      <c r="B12" s="2" t="s">
        <v>35</v>
      </c>
      <c r="C12" s="2" t="s">
        <v>271</v>
      </c>
      <c r="D12" s="2" t="s">
        <v>269</v>
      </c>
      <c r="E12" s="2">
        <v>4671.66</v>
      </c>
      <c r="F12" s="4">
        <v>45242</v>
      </c>
    </row>
    <row r="13" spans="1:9" x14ac:dyDescent="0.3">
      <c r="A13" s="2" t="s">
        <v>285</v>
      </c>
      <c r="B13" s="2" t="s">
        <v>37</v>
      </c>
      <c r="C13" s="2" t="s">
        <v>268</v>
      </c>
      <c r="D13" s="2" t="s">
        <v>274</v>
      </c>
      <c r="E13" s="2">
        <v>771.2</v>
      </c>
      <c r="F13" s="4">
        <v>45053</v>
      </c>
      <c r="I13">
        <v>2756.2492500000003</v>
      </c>
    </row>
    <row r="14" spans="1:9" x14ac:dyDescent="0.3">
      <c r="A14" s="2" t="s">
        <v>286</v>
      </c>
      <c r="B14" s="2" t="s">
        <v>39</v>
      </c>
      <c r="C14" s="2" t="s">
        <v>271</v>
      </c>
      <c r="D14" s="2" t="s">
        <v>274</v>
      </c>
      <c r="E14" s="2">
        <v>4704.96</v>
      </c>
      <c r="F14" s="4">
        <v>45154</v>
      </c>
    </row>
    <row r="15" spans="1:9" x14ac:dyDescent="0.3">
      <c r="A15" s="2" t="s">
        <v>287</v>
      </c>
      <c r="B15" s="2" t="s">
        <v>42</v>
      </c>
      <c r="C15" s="2" t="s">
        <v>277</v>
      </c>
      <c r="D15" s="2" t="s">
        <v>269</v>
      </c>
      <c r="E15" s="2">
        <v>2082.3000000000002</v>
      </c>
      <c r="F15" s="4">
        <v>45071</v>
      </c>
    </row>
    <row r="16" spans="1:9" x14ac:dyDescent="0.3">
      <c r="A16" s="2" t="s">
        <v>288</v>
      </c>
      <c r="B16" s="2" t="s">
        <v>44</v>
      </c>
      <c r="C16" s="2" t="s">
        <v>281</v>
      </c>
      <c r="D16" s="2" t="s">
        <v>269</v>
      </c>
      <c r="E16" s="2">
        <v>956.39</v>
      </c>
      <c r="F16" s="4">
        <v>44941</v>
      </c>
    </row>
    <row r="17" spans="1:10" x14ac:dyDescent="0.3">
      <c r="A17" s="2" t="s">
        <v>289</v>
      </c>
      <c r="B17" s="2" t="s">
        <v>46</v>
      </c>
      <c r="C17" s="2" t="s">
        <v>271</v>
      </c>
      <c r="D17" s="2" t="s">
        <v>269</v>
      </c>
      <c r="E17" s="2">
        <v>2686.42</v>
      </c>
      <c r="F17" s="4">
        <v>45107</v>
      </c>
    </row>
    <row r="18" spans="1:10" x14ac:dyDescent="0.3">
      <c r="A18" s="2" t="s">
        <v>290</v>
      </c>
      <c r="B18" s="2" t="s">
        <v>48</v>
      </c>
      <c r="C18" s="2" t="s">
        <v>271</v>
      </c>
      <c r="D18" s="2" t="s">
        <v>269</v>
      </c>
      <c r="E18" s="2">
        <v>1655.49</v>
      </c>
      <c r="F18" s="4">
        <v>45118</v>
      </c>
      <c r="J18">
        <f>H10</f>
        <v>2756.2492500000003</v>
      </c>
    </row>
    <row r="19" spans="1:10" x14ac:dyDescent="0.3">
      <c r="A19" s="2" t="s">
        <v>291</v>
      </c>
      <c r="B19" s="2" t="s">
        <v>50</v>
      </c>
      <c r="C19" s="2" t="s">
        <v>277</v>
      </c>
      <c r="D19" s="2" t="s">
        <v>272</v>
      </c>
      <c r="E19" s="2">
        <v>1781.93</v>
      </c>
      <c r="F19" s="4">
        <v>45244</v>
      </c>
    </row>
    <row r="20" spans="1:10" x14ac:dyDescent="0.3">
      <c r="A20" s="2" t="s">
        <v>292</v>
      </c>
      <c r="B20" s="2" t="s">
        <v>51</v>
      </c>
      <c r="C20" s="2" t="s">
        <v>293</v>
      </c>
      <c r="D20" s="2" t="s">
        <v>269</v>
      </c>
      <c r="E20" s="2">
        <v>1882.8</v>
      </c>
      <c r="F20" s="4">
        <v>44963</v>
      </c>
    </row>
    <row r="21" spans="1:10" x14ac:dyDescent="0.3">
      <c r="A21" s="2" t="s">
        <v>294</v>
      </c>
      <c r="B21" s="2" t="s">
        <v>53</v>
      </c>
      <c r="C21" s="2" t="s">
        <v>268</v>
      </c>
      <c r="D21" s="2" t="s">
        <v>272</v>
      </c>
      <c r="E21" s="2">
        <v>4113.62</v>
      </c>
      <c r="F21" s="4">
        <v>45265</v>
      </c>
    </row>
    <row r="22" spans="1:10" x14ac:dyDescent="0.3">
      <c r="A22" s="2" t="s">
        <v>295</v>
      </c>
      <c r="B22" s="2" t="s">
        <v>55</v>
      </c>
      <c r="C22" s="2" t="s">
        <v>293</v>
      </c>
      <c r="D22" s="2" t="s">
        <v>272</v>
      </c>
      <c r="E22" s="2">
        <v>2926.23</v>
      </c>
      <c r="F22" s="4">
        <v>45040</v>
      </c>
    </row>
    <row r="23" spans="1:10" x14ac:dyDescent="0.3">
      <c r="A23" s="2" t="s">
        <v>296</v>
      </c>
      <c r="B23" s="2" t="s">
        <v>57</v>
      </c>
      <c r="C23" s="2" t="s">
        <v>281</v>
      </c>
      <c r="D23" s="2" t="s">
        <v>272</v>
      </c>
      <c r="E23" s="2">
        <v>1900.88</v>
      </c>
      <c r="F23" s="4">
        <v>45244</v>
      </c>
    </row>
    <row r="24" spans="1:10" x14ac:dyDescent="0.3">
      <c r="A24" s="2" t="s">
        <v>297</v>
      </c>
      <c r="B24" s="2" t="s">
        <v>58</v>
      </c>
      <c r="C24" s="2" t="s">
        <v>271</v>
      </c>
      <c r="D24" s="2" t="s">
        <v>274</v>
      </c>
      <c r="E24" s="2">
        <v>3246.5</v>
      </c>
      <c r="F24" s="4">
        <v>45055</v>
      </c>
    </row>
    <row r="25" spans="1:10" x14ac:dyDescent="0.3">
      <c r="A25" s="2" t="s">
        <v>298</v>
      </c>
      <c r="B25" s="2" t="s">
        <v>60</v>
      </c>
      <c r="C25" s="2" t="s">
        <v>277</v>
      </c>
      <c r="D25" s="2" t="s">
        <v>272</v>
      </c>
      <c r="E25" s="2">
        <v>3722.68</v>
      </c>
      <c r="F25" s="4">
        <v>45098</v>
      </c>
    </row>
    <row r="26" spans="1:10" x14ac:dyDescent="0.3">
      <c r="A26" s="2" t="s">
        <v>299</v>
      </c>
      <c r="B26" s="2" t="s">
        <v>62</v>
      </c>
      <c r="C26" s="2" t="s">
        <v>277</v>
      </c>
      <c r="D26" s="2" t="s">
        <v>272</v>
      </c>
      <c r="E26" s="2">
        <v>1726.81</v>
      </c>
      <c r="F26" s="4">
        <v>44982</v>
      </c>
    </row>
    <row r="27" spans="1:10" x14ac:dyDescent="0.3">
      <c r="A27" s="2" t="s">
        <v>300</v>
      </c>
      <c r="B27" s="2" t="s">
        <v>64</v>
      </c>
      <c r="C27" s="2" t="s">
        <v>268</v>
      </c>
      <c r="D27" s="2" t="s">
        <v>274</v>
      </c>
      <c r="E27" s="2">
        <v>2360.9699999999998</v>
      </c>
      <c r="F27" s="4">
        <v>45002</v>
      </c>
    </row>
    <row r="28" spans="1:10" x14ac:dyDescent="0.3">
      <c r="A28" s="2" t="s">
        <v>301</v>
      </c>
      <c r="B28" s="2" t="s">
        <v>66</v>
      </c>
      <c r="C28" s="2" t="s">
        <v>293</v>
      </c>
      <c r="D28" s="2" t="s">
        <v>274</v>
      </c>
      <c r="E28" s="2">
        <v>1048.49</v>
      </c>
      <c r="F28" s="4">
        <v>45244</v>
      </c>
    </row>
    <row r="29" spans="1:10" x14ac:dyDescent="0.3">
      <c r="A29" s="2" t="s">
        <v>302</v>
      </c>
      <c r="B29" s="2" t="s">
        <v>68</v>
      </c>
      <c r="C29" s="2" t="s">
        <v>268</v>
      </c>
      <c r="D29" s="2" t="s">
        <v>274</v>
      </c>
      <c r="E29" s="2">
        <v>1315.17</v>
      </c>
      <c r="F29" s="4">
        <v>45228</v>
      </c>
    </row>
    <row r="30" spans="1:10" x14ac:dyDescent="0.3">
      <c r="A30" s="2" t="s">
        <v>303</v>
      </c>
      <c r="B30" s="2" t="s">
        <v>69</v>
      </c>
      <c r="C30" s="2" t="s">
        <v>271</v>
      </c>
      <c r="D30" s="2" t="s">
        <v>269</v>
      </c>
      <c r="E30" s="2">
        <v>3565.03</v>
      </c>
      <c r="F30" s="4">
        <v>45102</v>
      </c>
    </row>
    <row r="31" spans="1:10" x14ac:dyDescent="0.3">
      <c r="A31" s="2" t="s">
        <v>304</v>
      </c>
      <c r="B31" s="2" t="s">
        <v>70</v>
      </c>
      <c r="C31" s="2" t="s">
        <v>268</v>
      </c>
      <c r="D31" s="2" t="s">
        <v>274</v>
      </c>
      <c r="E31" s="2">
        <v>1316.47</v>
      </c>
      <c r="F31" s="4">
        <v>45167</v>
      </c>
    </row>
    <row r="32" spans="1:10" x14ac:dyDescent="0.3">
      <c r="A32" s="2" t="s">
        <v>305</v>
      </c>
      <c r="B32" s="2" t="s">
        <v>71</v>
      </c>
      <c r="C32" s="2" t="s">
        <v>277</v>
      </c>
      <c r="D32" s="2" t="s">
        <v>274</v>
      </c>
      <c r="E32" s="2">
        <v>2863.24</v>
      </c>
      <c r="F32" s="4">
        <v>45020</v>
      </c>
    </row>
    <row r="33" spans="1:6" x14ac:dyDescent="0.3">
      <c r="A33" s="2" t="s">
        <v>306</v>
      </c>
      <c r="B33" s="2" t="s">
        <v>72</v>
      </c>
      <c r="C33" s="2" t="s">
        <v>277</v>
      </c>
      <c r="D33" s="2" t="s">
        <v>272</v>
      </c>
      <c r="E33" s="2">
        <v>3690.71</v>
      </c>
      <c r="F33" s="4">
        <v>45236</v>
      </c>
    </row>
    <row r="34" spans="1:6" x14ac:dyDescent="0.3">
      <c r="A34" s="2" t="s">
        <v>307</v>
      </c>
      <c r="B34" s="2" t="s">
        <v>73</v>
      </c>
      <c r="C34" s="2" t="s">
        <v>281</v>
      </c>
      <c r="D34" s="2" t="s">
        <v>274</v>
      </c>
      <c r="E34" s="2">
        <v>980.95</v>
      </c>
      <c r="F34" s="4">
        <v>45192</v>
      </c>
    </row>
    <row r="35" spans="1:6" x14ac:dyDescent="0.3">
      <c r="A35" s="2" t="s">
        <v>308</v>
      </c>
      <c r="B35" s="2" t="s">
        <v>75</v>
      </c>
      <c r="C35" s="2" t="s">
        <v>281</v>
      </c>
      <c r="D35" s="2" t="s">
        <v>269</v>
      </c>
      <c r="E35" s="2">
        <v>3052.9</v>
      </c>
      <c r="F35" s="4">
        <v>45090</v>
      </c>
    </row>
    <row r="36" spans="1:6" x14ac:dyDescent="0.3">
      <c r="A36" s="2" t="s">
        <v>309</v>
      </c>
      <c r="B36" s="2" t="s">
        <v>76</v>
      </c>
      <c r="C36" s="2" t="s">
        <v>271</v>
      </c>
      <c r="D36" s="2" t="s">
        <v>274</v>
      </c>
      <c r="E36" s="2">
        <v>1654.53</v>
      </c>
      <c r="F36" s="4">
        <v>45034</v>
      </c>
    </row>
    <row r="37" spans="1:6" x14ac:dyDescent="0.3">
      <c r="A37" s="2" t="s">
        <v>310</v>
      </c>
      <c r="B37" s="2" t="s">
        <v>78</v>
      </c>
      <c r="C37" s="2" t="s">
        <v>293</v>
      </c>
      <c r="D37" s="2" t="s">
        <v>269</v>
      </c>
      <c r="E37" s="2">
        <v>4833.17</v>
      </c>
      <c r="F37" s="4">
        <v>44934</v>
      </c>
    </row>
    <row r="38" spans="1:6" x14ac:dyDescent="0.3">
      <c r="A38" s="2" t="s">
        <v>311</v>
      </c>
      <c r="B38" s="2" t="s">
        <v>80</v>
      </c>
      <c r="C38" s="2" t="s">
        <v>268</v>
      </c>
      <c r="D38" s="2" t="s">
        <v>274</v>
      </c>
      <c r="E38" s="2">
        <v>2675.96</v>
      </c>
      <c r="F38" s="4">
        <v>45013</v>
      </c>
    </row>
    <row r="39" spans="1:6" x14ac:dyDescent="0.3">
      <c r="A39" s="2" t="s">
        <v>312</v>
      </c>
      <c r="B39" s="2" t="s">
        <v>81</v>
      </c>
      <c r="C39" s="2" t="s">
        <v>271</v>
      </c>
      <c r="D39" s="2" t="s">
        <v>274</v>
      </c>
      <c r="E39" s="2">
        <v>4126.97</v>
      </c>
      <c r="F39" s="4">
        <v>44980</v>
      </c>
    </row>
    <row r="40" spans="1:6" x14ac:dyDescent="0.3">
      <c r="A40" s="2" t="s">
        <v>313</v>
      </c>
      <c r="B40" s="2" t="s">
        <v>82</v>
      </c>
      <c r="C40" s="2" t="s">
        <v>281</v>
      </c>
      <c r="D40" s="2" t="s">
        <v>274</v>
      </c>
      <c r="E40" s="2">
        <v>2976.02</v>
      </c>
      <c r="F40" s="4">
        <v>45033</v>
      </c>
    </row>
    <row r="41" spans="1:6" x14ac:dyDescent="0.3">
      <c r="A41" s="2" t="s">
        <v>314</v>
      </c>
      <c r="B41" s="2" t="s">
        <v>84</v>
      </c>
      <c r="C41" s="2" t="s">
        <v>268</v>
      </c>
      <c r="D41" s="2" t="s">
        <v>274</v>
      </c>
      <c r="E41" s="2">
        <v>695.36</v>
      </c>
      <c r="F41" s="4">
        <v>45012</v>
      </c>
    </row>
    <row r="42" spans="1:6" x14ac:dyDescent="0.3">
      <c r="A42" s="2" t="s">
        <v>315</v>
      </c>
      <c r="B42" s="2" t="s">
        <v>86</v>
      </c>
      <c r="C42" s="2" t="s">
        <v>281</v>
      </c>
      <c r="D42" s="2" t="s">
        <v>269</v>
      </c>
      <c r="E42" s="2">
        <v>3349.18</v>
      </c>
      <c r="F42" s="4">
        <v>44927</v>
      </c>
    </row>
    <row r="43" spans="1:6" x14ac:dyDescent="0.3">
      <c r="A43" s="2" t="s">
        <v>316</v>
      </c>
      <c r="B43" s="2" t="s">
        <v>87</v>
      </c>
      <c r="C43" s="2" t="s">
        <v>268</v>
      </c>
      <c r="D43" s="2" t="s">
        <v>269</v>
      </c>
      <c r="E43" s="2">
        <v>4781.32</v>
      </c>
      <c r="F43" s="4">
        <v>45006</v>
      </c>
    </row>
    <row r="44" spans="1:6" x14ac:dyDescent="0.3">
      <c r="A44" s="2" t="s">
        <v>317</v>
      </c>
      <c r="B44" s="2" t="s">
        <v>88</v>
      </c>
      <c r="C44" s="2" t="s">
        <v>293</v>
      </c>
      <c r="D44" s="2" t="s">
        <v>272</v>
      </c>
      <c r="E44" s="2">
        <v>3207.25</v>
      </c>
      <c r="F44" s="4">
        <v>45014</v>
      </c>
    </row>
    <row r="45" spans="1:6" x14ac:dyDescent="0.3">
      <c r="A45" s="2" t="s">
        <v>318</v>
      </c>
      <c r="B45" s="2" t="s">
        <v>89</v>
      </c>
      <c r="C45" s="2" t="s">
        <v>271</v>
      </c>
      <c r="D45" s="2" t="s">
        <v>269</v>
      </c>
      <c r="E45" s="2">
        <v>4186.3500000000004</v>
      </c>
      <c r="F45" s="4">
        <v>45189</v>
      </c>
    </row>
    <row r="46" spans="1:6" x14ac:dyDescent="0.3">
      <c r="A46" s="2" t="s">
        <v>319</v>
      </c>
      <c r="B46" s="2" t="s">
        <v>91</v>
      </c>
      <c r="C46" s="2" t="s">
        <v>268</v>
      </c>
      <c r="D46" s="2" t="s">
        <v>274</v>
      </c>
      <c r="E46" s="2">
        <v>4478.93</v>
      </c>
      <c r="F46" s="4">
        <v>45197</v>
      </c>
    </row>
    <row r="47" spans="1:6" x14ac:dyDescent="0.3">
      <c r="A47" s="2" t="s">
        <v>320</v>
      </c>
      <c r="B47" s="2" t="s">
        <v>92</v>
      </c>
      <c r="C47" s="2" t="s">
        <v>277</v>
      </c>
      <c r="D47" s="2" t="s">
        <v>272</v>
      </c>
      <c r="E47" s="2">
        <v>1526.36</v>
      </c>
      <c r="F47" s="4">
        <v>45280</v>
      </c>
    </row>
    <row r="48" spans="1:6" x14ac:dyDescent="0.3">
      <c r="A48" s="2" t="s">
        <v>321</v>
      </c>
      <c r="B48" s="2" t="s">
        <v>94</v>
      </c>
      <c r="C48" s="2" t="s">
        <v>277</v>
      </c>
      <c r="D48" s="2" t="s">
        <v>272</v>
      </c>
      <c r="E48" s="2">
        <v>1454.2</v>
      </c>
      <c r="F48" s="4">
        <v>45048</v>
      </c>
    </row>
    <row r="49" spans="1:6" x14ac:dyDescent="0.3">
      <c r="A49" s="2" t="s">
        <v>322</v>
      </c>
      <c r="B49" s="2" t="s">
        <v>95</v>
      </c>
      <c r="C49" s="2" t="s">
        <v>268</v>
      </c>
      <c r="D49" s="2" t="s">
        <v>272</v>
      </c>
      <c r="E49" s="2">
        <v>3249.41</v>
      </c>
      <c r="F49" s="4">
        <v>44942</v>
      </c>
    </row>
    <row r="50" spans="1:6" x14ac:dyDescent="0.3">
      <c r="A50" s="2" t="s">
        <v>323</v>
      </c>
      <c r="B50" s="2" t="s">
        <v>96</v>
      </c>
      <c r="C50" s="2" t="s">
        <v>268</v>
      </c>
      <c r="D50" s="2" t="s">
        <v>274</v>
      </c>
      <c r="E50" s="2">
        <v>2349.63</v>
      </c>
      <c r="F50" s="4">
        <v>45046</v>
      </c>
    </row>
    <row r="51" spans="1:6" x14ac:dyDescent="0.3">
      <c r="A51" s="2" t="s">
        <v>324</v>
      </c>
      <c r="B51" s="2" t="s">
        <v>97</v>
      </c>
      <c r="C51" s="2" t="s">
        <v>268</v>
      </c>
      <c r="D51" s="2" t="s">
        <v>269</v>
      </c>
      <c r="E51" s="2">
        <v>4279.38</v>
      </c>
      <c r="F51" s="4">
        <v>45154</v>
      </c>
    </row>
    <row r="52" spans="1:6" x14ac:dyDescent="0.3">
      <c r="A52" s="2" t="s">
        <v>325</v>
      </c>
      <c r="B52" s="2" t="s">
        <v>98</v>
      </c>
      <c r="C52" s="2" t="s">
        <v>277</v>
      </c>
      <c r="D52" s="2" t="s">
        <v>274</v>
      </c>
      <c r="E52" s="2">
        <v>4550.1000000000004</v>
      </c>
      <c r="F52" s="4">
        <v>44961</v>
      </c>
    </row>
    <row r="53" spans="1:6" x14ac:dyDescent="0.3">
      <c r="A53" s="2" t="s">
        <v>326</v>
      </c>
      <c r="B53" s="2" t="s">
        <v>100</v>
      </c>
      <c r="C53" s="2" t="s">
        <v>277</v>
      </c>
      <c r="D53" s="2" t="s">
        <v>272</v>
      </c>
      <c r="E53" s="2">
        <v>2090.4</v>
      </c>
      <c r="F53" s="4">
        <v>45119</v>
      </c>
    </row>
    <row r="54" spans="1:6" x14ac:dyDescent="0.3">
      <c r="A54" s="2" t="s">
        <v>327</v>
      </c>
      <c r="B54" s="2" t="s">
        <v>101</v>
      </c>
      <c r="C54" s="2" t="s">
        <v>268</v>
      </c>
      <c r="D54" s="2" t="s">
        <v>274</v>
      </c>
      <c r="E54" s="2">
        <v>1565.92</v>
      </c>
      <c r="F54" s="4">
        <v>44969</v>
      </c>
    </row>
    <row r="55" spans="1:6" x14ac:dyDescent="0.3">
      <c r="A55" s="2" t="s">
        <v>328</v>
      </c>
      <c r="B55" s="2" t="s">
        <v>103</v>
      </c>
      <c r="C55" s="2" t="s">
        <v>281</v>
      </c>
      <c r="D55" s="2" t="s">
        <v>274</v>
      </c>
      <c r="E55" s="2">
        <v>4012.36</v>
      </c>
      <c r="F55" s="4">
        <v>45276</v>
      </c>
    </row>
    <row r="56" spans="1:6" x14ac:dyDescent="0.3">
      <c r="A56" s="2" t="s">
        <v>329</v>
      </c>
      <c r="B56" s="2" t="s">
        <v>104</v>
      </c>
      <c r="C56" s="2" t="s">
        <v>281</v>
      </c>
      <c r="D56" s="2" t="s">
        <v>269</v>
      </c>
      <c r="E56" s="2">
        <v>1736.63</v>
      </c>
      <c r="F56" s="4">
        <v>45205</v>
      </c>
    </row>
    <row r="57" spans="1:6" x14ac:dyDescent="0.3">
      <c r="A57" s="2" t="s">
        <v>330</v>
      </c>
      <c r="B57" s="2" t="s">
        <v>106</v>
      </c>
      <c r="C57" s="2" t="s">
        <v>293</v>
      </c>
      <c r="D57" s="2" t="s">
        <v>269</v>
      </c>
      <c r="E57" s="2">
        <v>4201.76</v>
      </c>
      <c r="F57" s="4">
        <v>44928</v>
      </c>
    </row>
    <row r="58" spans="1:6" x14ac:dyDescent="0.3">
      <c r="A58" s="2" t="s">
        <v>331</v>
      </c>
      <c r="B58" s="2" t="s">
        <v>107</v>
      </c>
      <c r="C58" s="2" t="s">
        <v>271</v>
      </c>
      <c r="D58" s="2" t="s">
        <v>272</v>
      </c>
      <c r="E58" s="2">
        <v>2406.8200000000002</v>
      </c>
      <c r="F58" s="4">
        <v>45031</v>
      </c>
    </row>
    <row r="59" spans="1:6" x14ac:dyDescent="0.3">
      <c r="A59" s="2" t="s">
        <v>332</v>
      </c>
      <c r="B59" s="2" t="s">
        <v>108</v>
      </c>
      <c r="C59" s="2" t="s">
        <v>281</v>
      </c>
      <c r="D59" s="2" t="s">
        <v>274</v>
      </c>
      <c r="E59" s="2">
        <v>3503.97</v>
      </c>
      <c r="F59" s="4">
        <v>45055</v>
      </c>
    </row>
    <row r="60" spans="1:6" x14ac:dyDescent="0.3">
      <c r="A60" s="2" t="s">
        <v>333</v>
      </c>
      <c r="B60" s="2" t="s">
        <v>109</v>
      </c>
      <c r="C60" s="2" t="s">
        <v>277</v>
      </c>
      <c r="D60" s="2" t="s">
        <v>274</v>
      </c>
      <c r="E60" s="2">
        <v>929.91</v>
      </c>
      <c r="F60" s="4">
        <v>44994</v>
      </c>
    </row>
    <row r="61" spans="1:6" x14ac:dyDescent="0.3">
      <c r="A61" s="2" t="s">
        <v>334</v>
      </c>
      <c r="B61" s="2" t="s">
        <v>111</v>
      </c>
      <c r="C61" s="2" t="s">
        <v>281</v>
      </c>
      <c r="D61" s="2" t="s">
        <v>269</v>
      </c>
      <c r="E61" s="2">
        <v>3307.37</v>
      </c>
      <c r="F61" s="4">
        <v>45252</v>
      </c>
    </row>
    <row r="62" spans="1:6" x14ac:dyDescent="0.3">
      <c r="A62" s="2" t="s">
        <v>335</v>
      </c>
      <c r="B62" s="2" t="s">
        <v>113</v>
      </c>
      <c r="C62" s="2" t="s">
        <v>293</v>
      </c>
      <c r="D62" s="2" t="s">
        <v>274</v>
      </c>
      <c r="E62" s="2">
        <v>2532.9499999999998</v>
      </c>
      <c r="F62" s="4">
        <v>44941</v>
      </c>
    </row>
    <row r="63" spans="1:6" x14ac:dyDescent="0.3">
      <c r="A63" s="2" t="s">
        <v>336</v>
      </c>
      <c r="B63" s="2" t="s">
        <v>114</v>
      </c>
      <c r="C63" s="2" t="s">
        <v>293</v>
      </c>
      <c r="D63" s="2" t="s">
        <v>274</v>
      </c>
      <c r="E63" s="2">
        <v>3139.74</v>
      </c>
      <c r="F63" s="4">
        <v>45091</v>
      </c>
    </row>
    <row r="64" spans="1:6" x14ac:dyDescent="0.3">
      <c r="A64" s="2" t="s">
        <v>337</v>
      </c>
      <c r="B64" s="2" t="s">
        <v>115</v>
      </c>
      <c r="C64" s="2" t="s">
        <v>271</v>
      </c>
      <c r="D64" s="2" t="s">
        <v>274</v>
      </c>
      <c r="E64" s="2">
        <v>1256.06</v>
      </c>
      <c r="F64" s="4">
        <v>45106</v>
      </c>
    </row>
    <row r="65" spans="1:6" x14ac:dyDescent="0.3">
      <c r="A65" s="2" t="s">
        <v>338</v>
      </c>
      <c r="B65" s="2" t="s">
        <v>117</v>
      </c>
      <c r="C65" s="2" t="s">
        <v>281</v>
      </c>
      <c r="D65" s="2" t="s">
        <v>269</v>
      </c>
      <c r="E65" s="2">
        <v>3815.93</v>
      </c>
      <c r="F65" s="4">
        <v>45077</v>
      </c>
    </row>
    <row r="66" spans="1:6" x14ac:dyDescent="0.3">
      <c r="A66" s="2" t="s">
        <v>339</v>
      </c>
      <c r="B66" s="2" t="s">
        <v>119</v>
      </c>
      <c r="C66" s="2" t="s">
        <v>277</v>
      </c>
      <c r="D66" s="2" t="s">
        <v>272</v>
      </c>
      <c r="E66" s="2">
        <v>4382.59</v>
      </c>
      <c r="F66" s="4">
        <v>45040</v>
      </c>
    </row>
    <row r="67" spans="1:6" x14ac:dyDescent="0.3">
      <c r="A67" s="2" t="s">
        <v>340</v>
      </c>
      <c r="B67" s="2" t="s">
        <v>120</v>
      </c>
      <c r="C67" s="2" t="s">
        <v>277</v>
      </c>
      <c r="D67" s="2" t="s">
        <v>272</v>
      </c>
      <c r="E67" s="2">
        <v>1475.33</v>
      </c>
      <c r="F67" s="4">
        <v>45056</v>
      </c>
    </row>
    <row r="68" spans="1:6" x14ac:dyDescent="0.3">
      <c r="A68" s="2" t="s">
        <v>341</v>
      </c>
      <c r="B68" s="2" t="s">
        <v>121</v>
      </c>
      <c r="C68" s="2" t="s">
        <v>268</v>
      </c>
      <c r="D68" s="2" t="s">
        <v>274</v>
      </c>
      <c r="E68" s="2">
        <v>930.72</v>
      </c>
      <c r="F68" s="4">
        <v>45148</v>
      </c>
    </row>
    <row r="69" spans="1:6" x14ac:dyDescent="0.3">
      <c r="A69" s="2" t="s">
        <v>342</v>
      </c>
      <c r="B69" s="2" t="s">
        <v>123</v>
      </c>
      <c r="C69" s="2" t="s">
        <v>277</v>
      </c>
      <c r="D69" s="2" t="s">
        <v>272</v>
      </c>
      <c r="E69" s="2">
        <v>606.37</v>
      </c>
      <c r="F69" s="4">
        <v>44999</v>
      </c>
    </row>
    <row r="70" spans="1:6" x14ac:dyDescent="0.3">
      <c r="A70" s="2" t="s">
        <v>343</v>
      </c>
      <c r="B70" s="2" t="s">
        <v>124</v>
      </c>
      <c r="C70" s="2" t="s">
        <v>271</v>
      </c>
      <c r="D70" s="2" t="s">
        <v>269</v>
      </c>
      <c r="E70" s="2">
        <v>3388.87</v>
      </c>
      <c r="F70" s="4">
        <v>45014</v>
      </c>
    </row>
    <row r="71" spans="1:6" x14ac:dyDescent="0.3">
      <c r="A71" s="2" t="s">
        <v>344</v>
      </c>
      <c r="B71" s="2" t="s">
        <v>125</v>
      </c>
      <c r="C71" s="2" t="s">
        <v>271</v>
      </c>
      <c r="D71" s="2" t="s">
        <v>269</v>
      </c>
      <c r="E71" s="2">
        <v>3231.92</v>
      </c>
      <c r="F71" s="4">
        <v>45164</v>
      </c>
    </row>
    <row r="72" spans="1:6" x14ac:dyDescent="0.3">
      <c r="A72" s="2" t="s">
        <v>345</v>
      </c>
      <c r="B72" s="2" t="s">
        <v>126</v>
      </c>
      <c r="C72" s="2" t="s">
        <v>277</v>
      </c>
      <c r="D72" s="2" t="s">
        <v>272</v>
      </c>
      <c r="E72" s="2">
        <v>2960.14</v>
      </c>
      <c r="F72" s="4">
        <v>44952</v>
      </c>
    </row>
    <row r="73" spans="1:6" x14ac:dyDescent="0.3">
      <c r="A73" s="2" t="s">
        <v>346</v>
      </c>
      <c r="B73" s="2" t="s">
        <v>127</v>
      </c>
      <c r="C73" s="2" t="s">
        <v>277</v>
      </c>
      <c r="D73" s="2" t="s">
        <v>272</v>
      </c>
      <c r="E73" s="2">
        <v>1543.76</v>
      </c>
      <c r="F73" s="4">
        <v>45089</v>
      </c>
    </row>
    <row r="74" spans="1:6" x14ac:dyDescent="0.3">
      <c r="A74" s="2" t="s">
        <v>347</v>
      </c>
      <c r="B74" s="2" t="s">
        <v>128</v>
      </c>
      <c r="C74" s="2" t="s">
        <v>268</v>
      </c>
      <c r="D74" s="2" t="s">
        <v>274</v>
      </c>
      <c r="E74" s="2">
        <v>2259.08</v>
      </c>
      <c r="F74" s="4">
        <v>45284</v>
      </c>
    </row>
    <row r="75" spans="1:6" x14ac:dyDescent="0.3">
      <c r="A75" s="2" t="s">
        <v>348</v>
      </c>
      <c r="B75" s="2" t="s">
        <v>129</v>
      </c>
      <c r="C75" s="2" t="s">
        <v>277</v>
      </c>
      <c r="D75" s="2" t="s">
        <v>272</v>
      </c>
      <c r="E75" s="2">
        <v>3175.14</v>
      </c>
      <c r="F75" s="4">
        <v>45130</v>
      </c>
    </row>
    <row r="76" spans="1:6" x14ac:dyDescent="0.3">
      <c r="A76" s="2" t="s">
        <v>349</v>
      </c>
      <c r="B76" s="2" t="s">
        <v>130</v>
      </c>
      <c r="C76" s="2" t="s">
        <v>268</v>
      </c>
      <c r="D76" s="2" t="s">
        <v>274</v>
      </c>
      <c r="E76" s="2">
        <v>2735.45</v>
      </c>
      <c r="F76" s="4">
        <v>45054</v>
      </c>
    </row>
    <row r="77" spans="1:6" x14ac:dyDescent="0.3">
      <c r="A77" s="2" t="s">
        <v>350</v>
      </c>
      <c r="B77" s="2" t="s">
        <v>131</v>
      </c>
      <c r="C77" s="2" t="s">
        <v>268</v>
      </c>
      <c r="D77" s="2" t="s">
        <v>274</v>
      </c>
      <c r="E77" s="2">
        <v>4945.03</v>
      </c>
      <c r="F77" s="4">
        <v>45257</v>
      </c>
    </row>
    <row r="78" spans="1:6" x14ac:dyDescent="0.3">
      <c r="A78" s="2" t="s">
        <v>351</v>
      </c>
      <c r="B78" s="2" t="s">
        <v>133</v>
      </c>
      <c r="C78" s="2" t="s">
        <v>277</v>
      </c>
      <c r="D78" s="2" t="s">
        <v>269</v>
      </c>
      <c r="E78" s="2">
        <v>1113.98</v>
      </c>
      <c r="F78" s="4">
        <v>45274</v>
      </c>
    </row>
    <row r="79" spans="1:6" x14ac:dyDescent="0.3">
      <c r="A79" s="2" t="s">
        <v>352</v>
      </c>
      <c r="B79" s="2" t="s">
        <v>134</v>
      </c>
      <c r="C79" s="2" t="s">
        <v>293</v>
      </c>
      <c r="D79" s="2" t="s">
        <v>269</v>
      </c>
      <c r="E79" s="2">
        <v>3628.15</v>
      </c>
      <c r="F79" s="4">
        <v>45186</v>
      </c>
    </row>
    <row r="80" spans="1:6" x14ac:dyDescent="0.3">
      <c r="A80" s="2" t="s">
        <v>353</v>
      </c>
      <c r="B80" s="2" t="s">
        <v>136</v>
      </c>
      <c r="C80" s="2" t="s">
        <v>293</v>
      </c>
      <c r="D80" s="2" t="s">
        <v>269</v>
      </c>
      <c r="E80" s="2">
        <v>2319.4299999999998</v>
      </c>
      <c r="F80" s="4">
        <v>45286</v>
      </c>
    </row>
    <row r="81" spans="1:6" x14ac:dyDescent="0.3">
      <c r="A81" s="2" t="s">
        <v>354</v>
      </c>
      <c r="B81" s="2" t="s">
        <v>137</v>
      </c>
      <c r="C81" s="2" t="s">
        <v>268</v>
      </c>
      <c r="D81" s="2" t="s">
        <v>269</v>
      </c>
      <c r="E81" s="2">
        <v>2426.9</v>
      </c>
      <c r="F81" s="4">
        <v>45103</v>
      </c>
    </row>
    <row r="82" spans="1:6" x14ac:dyDescent="0.3">
      <c r="A82" s="2" t="s">
        <v>355</v>
      </c>
      <c r="B82" s="2" t="s">
        <v>138</v>
      </c>
      <c r="C82" s="2" t="s">
        <v>277</v>
      </c>
      <c r="D82" s="2" t="s">
        <v>272</v>
      </c>
      <c r="E82" s="2">
        <v>3729.19</v>
      </c>
      <c r="F82" s="4">
        <v>44932</v>
      </c>
    </row>
    <row r="83" spans="1:6" x14ac:dyDescent="0.3">
      <c r="A83" s="2" t="s">
        <v>356</v>
      </c>
      <c r="B83" s="2" t="s">
        <v>139</v>
      </c>
      <c r="C83" s="2" t="s">
        <v>293</v>
      </c>
      <c r="D83" s="2" t="s">
        <v>269</v>
      </c>
      <c r="E83" s="2">
        <v>3615.96</v>
      </c>
      <c r="F83" s="4">
        <v>44946</v>
      </c>
    </row>
    <row r="84" spans="1:6" x14ac:dyDescent="0.3">
      <c r="A84" s="2" t="s">
        <v>357</v>
      </c>
      <c r="B84" s="2" t="s">
        <v>140</v>
      </c>
      <c r="C84" s="2" t="s">
        <v>277</v>
      </c>
      <c r="D84" s="2" t="s">
        <v>272</v>
      </c>
      <c r="E84" s="2">
        <v>4960.6499999999996</v>
      </c>
      <c r="F84" s="4">
        <v>45237</v>
      </c>
    </row>
    <row r="85" spans="1:6" x14ac:dyDescent="0.3">
      <c r="A85" s="2" t="s">
        <v>358</v>
      </c>
      <c r="B85" s="2" t="s">
        <v>141</v>
      </c>
      <c r="C85" s="2" t="s">
        <v>277</v>
      </c>
      <c r="D85" s="2" t="s">
        <v>269</v>
      </c>
      <c r="E85" s="2">
        <v>1077.77</v>
      </c>
      <c r="F85" s="4">
        <v>45077</v>
      </c>
    </row>
    <row r="86" spans="1:6" x14ac:dyDescent="0.3">
      <c r="A86" s="2" t="s">
        <v>359</v>
      </c>
      <c r="B86" s="2" t="s">
        <v>142</v>
      </c>
      <c r="C86" s="2" t="s">
        <v>277</v>
      </c>
      <c r="D86" s="2" t="s">
        <v>272</v>
      </c>
      <c r="E86" s="2">
        <v>968.49</v>
      </c>
      <c r="F86" s="4">
        <v>44975</v>
      </c>
    </row>
    <row r="87" spans="1:6" x14ac:dyDescent="0.3">
      <c r="A87" s="2" t="s">
        <v>360</v>
      </c>
      <c r="B87" s="2" t="s">
        <v>143</v>
      </c>
      <c r="C87" s="2" t="s">
        <v>281</v>
      </c>
      <c r="D87" s="2" t="s">
        <v>274</v>
      </c>
      <c r="E87" s="2">
        <v>3759.52</v>
      </c>
      <c r="F87" s="4">
        <v>45228</v>
      </c>
    </row>
    <row r="88" spans="1:6" x14ac:dyDescent="0.3">
      <c r="A88" s="2" t="s">
        <v>361</v>
      </c>
      <c r="B88" s="2" t="s">
        <v>145</v>
      </c>
      <c r="C88" s="2" t="s">
        <v>277</v>
      </c>
      <c r="D88" s="2" t="s">
        <v>272</v>
      </c>
      <c r="E88" s="2">
        <v>3102.74</v>
      </c>
      <c r="F88" s="4">
        <v>45218</v>
      </c>
    </row>
    <row r="89" spans="1:6" x14ac:dyDescent="0.3">
      <c r="A89" s="2" t="s">
        <v>362</v>
      </c>
      <c r="B89" s="2" t="s">
        <v>146</v>
      </c>
      <c r="C89" s="2" t="s">
        <v>281</v>
      </c>
      <c r="D89" s="2" t="s">
        <v>272</v>
      </c>
      <c r="E89" s="2">
        <v>1733.72</v>
      </c>
      <c r="F89" s="4">
        <v>45048</v>
      </c>
    </row>
    <row r="90" spans="1:6" x14ac:dyDescent="0.3">
      <c r="A90" s="2" t="s">
        <v>363</v>
      </c>
      <c r="B90" s="2" t="s">
        <v>148</v>
      </c>
      <c r="C90" s="2" t="s">
        <v>268</v>
      </c>
      <c r="D90" s="2" t="s">
        <v>269</v>
      </c>
      <c r="E90" s="2">
        <v>857.39</v>
      </c>
      <c r="F90" s="4">
        <v>44971</v>
      </c>
    </row>
    <row r="91" spans="1:6" x14ac:dyDescent="0.3">
      <c r="A91" s="2" t="s">
        <v>364</v>
      </c>
      <c r="B91" s="2" t="s">
        <v>149</v>
      </c>
      <c r="C91" s="2" t="s">
        <v>293</v>
      </c>
      <c r="D91" s="2" t="s">
        <v>272</v>
      </c>
      <c r="E91" s="2">
        <v>885.46</v>
      </c>
      <c r="F91" s="4">
        <v>45078</v>
      </c>
    </row>
    <row r="92" spans="1:6" x14ac:dyDescent="0.3">
      <c r="A92" s="2" t="s">
        <v>365</v>
      </c>
      <c r="B92" s="2" t="s">
        <v>150</v>
      </c>
      <c r="C92" s="2" t="s">
        <v>293</v>
      </c>
      <c r="D92" s="2" t="s">
        <v>274</v>
      </c>
      <c r="E92" s="2">
        <v>4523.8599999999997</v>
      </c>
      <c r="F92" s="4">
        <v>45088</v>
      </c>
    </row>
    <row r="93" spans="1:6" x14ac:dyDescent="0.3">
      <c r="A93" s="2" t="s">
        <v>366</v>
      </c>
      <c r="B93" s="2" t="s">
        <v>151</v>
      </c>
      <c r="C93" s="2" t="s">
        <v>293</v>
      </c>
      <c r="D93" s="2" t="s">
        <v>274</v>
      </c>
      <c r="E93" s="2">
        <v>1363.4</v>
      </c>
      <c r="F93" s="4">
        <v>44956</v>
      </c>
    </row>
    <row r="94" spans="1:6" x14ac:dyDescent="0.3">
      <c r="A94" s="2" t="s">
        <v>367</v>
      </c>
      <c r="B94" s="2" t="s">
        <v>152</v>
      </c>
      <c r="C94" s="2" t="s">
        <v>293</v>
      </c>
      <c r="D94" s="2" t="s">
        <v>269</v>
      </c>
      <c r="E94" s="2">
        <v>1955.17</v>
      </c>
      <c r="F94" s="4">
        <v>45025</v>
      </c>
    </row>
    <row r="95" spans="1:6" x14ac:dyDescent="0.3">
      <c r="A95" s="2" t="s">
        <v>368</v>
      </c>
      <c r="B95" s="2" t="s">
        <v>153</v>
      </c>
      <c r="C95" s="2" t="s">
        <v>293</v>
      </c>
      <c r="D95" s="2" t="s">
        <v>274</v>
      </c>
      <c r="E95" s="2">
        <v>1519.95</v>
      </c>
      <c r="F95" s="4">
        <v>45024</v>
      </c>
    </row>
    <row r="96" spans="1:6" x14ac:dyDescent="0.3">
      <c r="A96" s="2" t="s">
        <v>369</v>
      </c>
      <c r="B96" s="2" t="s">
        <v>155</v>
      </c>
      <c r="C96" s="2" t="s">
        <v>293</v>
      </c>
      <c r="D96" s="2" t="s">
        <v>272</v>
      </c>
      <c r="E96" s="2">
        <v>2097.48</v>
      </c>
      <c r="F96" s="4">
        <v>45055</v>
      </c>
    </row>
    <row r="97" spans="1:6" x14ac:dyDescent="0.3">
      <c r="A97" s="2" t="s">
        <v>370</v>
      </c>
      <c r="B97" s="2" t="s">
        <v>157</v>
      </c>
      <c r="C97" s="2" t="s">
        <v>293</v>
      </c>
      <c r="D97" s="2" t="s">
        <v>274</v>
      </c>
      <c r="E97" s="2">
        <v>812.41</v>
      </c>
      <c r="F97" s="4">
        <v>45114</v>
      </c>
    </row>
    <row r="98" spans="1:6" x14ac:dyDescent="0.3">
      <c r="A98" s="2" t="s">
        <v>371</v>
      </c>
      <c r="B98" s="2" t="s">
        <v>158</v>
      </c>
      <c r="C98" s="2" t="s">
        <v>268</v>
      </c>
      <c r="D98" s="2" t="s">
        <v>269</v>
      </c>
      <c r="E98" s="2">
        <v>2835.77</v>
      </c>
      <c r="F98" s="4">
        <v>45052</v>
      </c>
    </row>
    <row r="99" spans="1:6" x14ac:dyDescent="0.3">
      <c r="A99" s="2" t="s">
        <v>372</v>
      </c>
      <c r="B99" s="2" t="s">
        <v>159</v>
      </c>
      <c r="C99" s="2" t="s">
        <v>277</v>
      </c>
      <c r="D99" s="2" t="s">
        <v>272</v>
      </c>
      <c r="E99" s="2">
        <v>804.26</v>
      </c>
      <c r="F99" s="4">
        <v>45002</v>
      </c>
    </row>
    <row r="100" spans="1:6" x14ac:dyDescent="0.3">
      <c r="A100" s="2" t="s">
        <v>373</v>
      </c>
      <c r="B100" s="2" t="s">
        <v>160</v>
      </c>
      <c r="C100" s="2" t="s">
        <v>271</v>
      </c>
      <c r="D100" s="2" t="s">
        <v>269</v>
      </c>
      <c r="E100" s="2">
        <v>4101.6000000000004</v>
      </c>
      <c r="F100" s="4">
        <v>45111</v>
      </c>
    </row>
    <row r="101" spans="1:6" x14ac:dyDescent="0.3">
      <c r="A101" s="2" t="s">
        <v>374</v>
      </c>
      <c r="B101" s="2" t="s">
        <v>162</v>
      </c>
      <c r="C101" s="2" t="s">
        <v>281</v>
      </c>
      <c r="D101" s="2" t="s">
        <v>272</v>
      </c>
      <c r="E101" s="2">
        <v>1551.7</v>
      </c>
      <c r="F101" s="4">
        <v>44987</v>
      </c>
    </row>
    <row r="102" spans="1:6" x14ac:dyDescent="0.3">
      <c r="A102" s="2" t="s">
        <v>375</v>
      </c>
      <c r="B102" s="2" t="s">
        <v>163</v>
      </c>
      <c r="C102" s="2" t="s">
        <v>271</v>
      </c>
      <c r="D102" s="2" t="s">
        <v>274</v>
      </c>
      <c r="E102" s="2">
        <v>2930.05</v>
      </c>
      <c r="F102" s="4">
        <v>45190</v>
      </c>
    </row>
    <row r="103" spans="1:6" x14ac:dyDescent="0.3">
      <c r="A103" s="2" t="s">
        <v>376</v>
      </c>
      <c r="B103" s="2" t="s">
        <v>164</v>
      </c>
      <c r="C103" s="2" t="s">
        <v>271</v>
      </c>
      <c r="D103" s="2" t="s">
        <v>269</v>
      </c>
      <c r="E103" s="2">
        <v>4460.3599999999997</v>
      </c>
      <c r="F103" s="4">
        <v>45224</v>
      </c>
    </row>
    <row r="104" spans="1:6" x14ac:dyDescent="0.3">
      <c r="A104" s="2" t="s">
        <v>377</v>
      </c>
      <c r="B104" s="2" t="s">
        <v>165</v>
      </c>
      <c r="C104" s="2" t="s">
        <v>277</v>
      </c>
      <c r="D104" s="2" t="s">
        <v>269</v>
      </c>
      <c r="E104" s="2">
        <v>3428.95</v>
      </c>
      <c r="F104" s="4">
        <v>44950</v>
      </c>
    </row>
    <row r="105" spans="1:6" x14ac:dyDescent="0.3">
      <c r="A105" s="2" t="s">
        <v>378</v>
      </c>
      <c r="B105" s="2" t="s">
        <v>166</v>
      </c>
      <c r="C105" s="2" t="s">
        <v>277</v>
      </c>
      <c r="D105" s="2" t="s">
        <v>272</v>
      </c>
      <c r="E105" s="2">
        <v>2898.31</v>
      </c>
      <c r="F105" s="4">
        <v>45034</v>
      </c>
    </row>
    <row r="106" spans="1:6" x14ac:dyDescent="0.3">
      <c r="A106" s="2" t="s">
        <v>379</v>
      </c>
      <c r="B106" s="2" t="s">
        <v>167</v>
      </c>
      <c r="C106" s="2" t="s">
        <v>277</v>
      </c>
      <c r="D106" s="2" t="s">
        <v>269</v>
      </c>
      <c r="E106" s="2">
        <v>1959.5</v>
      </c>
      <c r="F106" s="4">
        <v>45152</v>
      </c>
    </row>
    <row r="107" spans="1:6" x14ac:dyDescent="0.3">
      <c r="A107" s="2" t="s">
        <v>380</v>
      </c>
      <c r="B107" s="2" t="s">
        <v>168</v>
      </c>
      <c r="C107" s="2" t="s">
        <v>293</v>
      </c>
      <c r="D107" s="2" t="s">
        <v>272</v>
      </c>
      <c r="E107" s="2">
        <v>1998.51</v>
      </c>
      <c r="F107" s="4">
        <v>45228</v>
      </c>
    </row>
    <row r="108" spans="1:6" x14ac:dyDescent="0.3">
      <c r="A108" s="2" t="s">
        <v>381</v>
      </c>
      <c r="B108" s="2" t="s">
        <v>169</v>
      </c>
      <c r="C108" s="2" t="s">
        <v>268</v>
      </c>
      <c r="D108" s="2" t="s">
        <v>272</v>
      </c>
      <c r="E108" s="2">
        <v>3512.69</v>
      </c>
      <c r="F108" s="4">
        <v>45033</v>
      </c>
    </row>
    <row r="109" spans="1:6" x14ac:dyDescent="0.3">
      <c r="A109" s="2" t="s">
        <v>382</v>
      </c>
      <c r="B109" s="2" t="s">
        <v>171</v>
      </c>
      <c r="C109" s="2" t="s">
        <v>293</v>
      </c>
      <c r="D109" s="2" t="s">
        <v>272</v>
      </c>
      <c r="E109" s="2">
        <v>4973.63</v>
      </c>
      <c r="F109" s="4">
        <v>45037</v>
      </c>
    </row>
    <row r="110" spans="1:6" x14ac:dyDescent="0.3">
      <c r="A110" s="2" t="s">
        <v>383</v>
      </c>
      <c r="B110" s="2" t="s">
        <v>172</v>
      </c>
      <c r="C110" s="2" t="s">
        <v>268</v>
      </c>
      <c r="D110" s="2" t="s">
        <v>272</v>
      </c>
      <c r="E110" s="2">
        <v>3478.28</v>
      </c>
      <c r="F110" s="4">
        <v>45136</v>
      </c>
    </row>
    <row r="111" spans="1:6" x14ac:dyDescent="0.3">
      <c r="A111" s="2" t="s">
        <v>384</v>
      </c>
      <c r="B111" s="2" t="s">
        <v>173</v>
      </c>
      <c r="C111" s="2" t="s">
        <v>268</v>
      </c>
      <c r="D111" s="2" t="s">
        <v>274</v>
      </c>
      <c r="E111" s="2">
        <v>3010.03</v>
      </c>
      <c r="F111" s="4">
        <v>45126</v>
      </c>
    </row>
    <row r="112" spans="1:6" x14ac:dyDescent="0.3">
      <c r="A112" s="2" t="s">
        <v>385</v>
      </c>
      <c r="B112" s="2" t="s">
        <v>174</v>
      </c>
      <c r="C112" s="2" t="s">
        <v>271</v>
      </c>
      <c r="D112" s="2" t="s">
        <v>272</v>
      </c>
      <c r="E112" s="2">
        <v>3787.93</v>
      </c>
      <c r="F112" s="4">
        <v>45068</v>
      </c>
    </row>
    <row r="113" spans="1:6" x14ac:dyDescent="0.3">
      <c r="A113" s="2" t="s">
        <v>386</v>
      </c>
      <c r="B113" s="2" t="s">
        <v>175</v>
      </c>
      <c r="C113" s="2" t="s">
        <v>271</v>
      </c>
      <c r="D113" s="2" t="s">
        <v>269</v>
      </c>
      <c r="E113" s="2">
        <v>2593.4299999999998</v>
      </c>
      <c r="F113" s="4">
        <v>44937</v>
      </c>
    </row>
    <row r="114" spans="1:6" x14ac:dyDescent="0.3">
      <c r="A114" s="2" t="s">
        <v>387</v>
      </c>
      <c r="B114" s="2" t="s">
        <v>176</v>
      </c>
      <c r="C114" s="2" t="s">
        <v>268</v>
      </c>
      <c r="D114" s="2" t="s">
        <v>274</v>
      </c>
      <c r="E114" s="2">
        <v>770.64</v>
      </c>
      <c r="F114" s="4">
        <v>45254</v>
      </c>
    </row>
    <row r="115" spans="1:6" x14ac:dyDescent="0.3">
      <c r="A115" s="2" t="s">
        <v>388</v>
      </c>
      <c r="B115" s="2" t="s">
        <v>177</v>
      </c>
      <c r="C115" s="2" t="s">
        <v>268</v>
      </c>
      <c r="D115" s="2" t="s">
        <v>269</v>
      </c>
      <c r="E115" s="2">
        <v>3030.34</v>
      </c>
      <c r="F115" s="4">
        <v>45146</v>
      </c>
    </row>
    <row r="116" spans="1:6" x14ac:dyDescent="0.3">
      <c r="A116" s="2" t="s">
        <v>389</v>
      </c>
      <c r="B116" s="2" t="s">
        <v>179</v>
      </c>
      <c r="C116" s="2" t="s">
        <v>293</v>
      </c>
      <c r="D116" s="2" t="s">
        <v>274</v>
      </c>
      <c r="E116" s="2">
        <v>4809.3100000000004</v>
      </c>
      <c r="F116" s="4">
        <v>45224</v>
      </c>
    </row>
    <row r="117" spans="1:6" x14ac:dyDescent="0.3">
      <c r="A117" s="2" t="s">
        <v>390</v>
      </c>
      <c r="B117" s="2" t="s">
        <v>180</v>
      </c>
      <c r="C117" s="2" t="s">
        <v>293</v>
      </c>
      <c r="D117" s="2" t="s">
        <v>272</v>
      </c>
      <c r="E117" s="2">
        <v>1288.8599999999999</v>
      </c>
      <c r="F117" s="4">
        <v>45114</v>
      </c>
    </row>
    <row r="118" spans="1:6" x14ac:dyDescent="0.3">
      <c r="A118" s="2" t="s">
        <v>391</v>
      </c>
      <c r="B118" s="2" t="s">
        <v>181</v>
      </c>
      <c r="C118" s="2" t="s">
        <v>271</v>
      </c>
      <c r="D118" s="2" t="s">
        <v>274</v>
      </c>
      <c r="E118" s="2">
        <v>3605.02</v>
      </c>
      <c r="F118" s="4">
        <v>45097</v>
      </c>
    </row>
    <row r="119" spans="1:6" x14ac:dyDescent="0.3">
      <c r="A119" s="2" t="s">
        <v>392</v>
      </c>
      <c r="B119" s="2" t="s">
        <v>182</v>
      </c>
      <c r="C119" s="2" t="s">
        <v>277</v>
      </c>
      <c r="D119" s="2" t="s">
        <v>274</v>
      </c>
      <c r="E119" s="2">
        <v>1404.2</v>
      </c>
      <c r="F119" s="4">
        <v>45147</v>
      </c>
    </row>
    <row r="120" spans="1:6" x14ac:dyDescent="0.3">
      <c r="A120" s="2" t="s">
        <v>393</v>
      </c>
      <c r="B120" s="2" t="s">
        <v>183</v>
      </c>
      <c r="C120" s="2" t="s">
        <v>268</v>
      </c>
      <c r="D120" s="2" t="s">
        <v>269</v>
      </c>
      <c r="E120" s="2">
        <v>2911.22</v>
      </c>
      <c r="F120" s="4">
        <v>45278</v>
      </c>
    </row>
    <row r="121" spans="1:6" x14ac:dyDescent="0.3">
      <c r="A121" s="2" t="s">
        <v>394</v>
      </c>
      <c r="B121" s="2" t="s">
        <v>184</v>
      </c>
      <c r="C121" s="2" t="s">
        <v>293</v>
      </c>
      <c r="D121" s="2" t="s">
        <v>269</v>
      </c>
      <c r="E121" s="2">
        <v>935.04</v>
      </c>
      <c r="F121" s="4">
        <v>45268</v>
      </c>
    </row>
    <row r="122" spans="1:6" x14ac:dyDescent="0.3">
      <c r="A122" s="2" t="s">
        <v>395</v>
      </c>
      <c r="B122" s="2" t="s">
        <v>185</v>
      </c>
      <c r="C122" s="2" t="s">
        <v>271</v>
      </c>
      <c r="D122" s="2" t="s">
        <v>272</v>
      </c>
      <c r="E122" s="2">
        <v>2526.67</v>
      </c>
      <c r="F122" s="4">
        <v>45023</v>
      </c>
    </row>
    <row r="123" spans="1:6" x14ac:dyDescent="0.3">
      <c r="A123" s="2" t="s">
        <v>396</v>
      </c>
      <c r="B123" s="2" t="s">
        <v>186</v>
      </c>
      <c r="C123" s="2" t="s">
        <v>293</v>
      </c>
      <c r="D123" s="2" t="s">
        <v>274</v>
      </c>
      <c r="E123" s="2">
        <v>3902.73</v>
      </c>
      <c r="F123" s="4">
        <v>45118</v>
      </c>
    </row>
    <row r="124" spans="1:6" x14ac:dyDescent="0.3">
      <c r="A124" s="2" t="s">
        <v>397</v>
      </c>
      <c r="B124" s="2" t="s">
        <v>187</v>
      </c>
      <c r="C124" s="2" t="s">
        <v>268</v>
      </c>
      <c r="D124" s="2" t="s">
        <v>274</v>
      </c>
      <c r="E124" s="2">
        <v>2064.0700000000002</v>
      </c>
      <c r="F124" s="4">
        <v>44985</v>
      </c>
    </row>
    <row r="125" spans="1:6" x14ac:dyDescent="0.3">
      <c r="A125" s="2" t="s">
        <v>398</v>
      </c>
      <c r="B125" s="2" t="s">
        <v>188</v>
      </c>
      <c r="C125" s="2" t="s">
        <v>268</v>
      </c>
      <c r="D125" s="2" t="s">
        <v>274</v>
      </c>
      <c r="E125" s="2">
        <v>3492.1</v>
      </c>
      <c r="F125" s="4">
        <v>45001</v>
      </c>
    </row>
    <row r="126" spans="1:6" x14ac:dyDescent="0.3">
      <c r="A126" s="2" t="s">
        <v>399</v>
      </c>
      <c r="B126" s="2" t="s">
        <v>189</v>
      </c>
      <c r="C126" s="2" t="s">
        <v>281</v>
      </c>
      <c r="D126" s="2" t="s">
        <v>272</v>
      </c>
      <c r="E126" s="2">
        <v>4079.52</v>
      </c>
      <c r="F126" s="4">
        <v>44975</v>
      </c>
    </row>
    <row r="127" spans="1:6" x14ac:dyDescent="0.3">
      <c r="A127" s="2" t="s">
        <v>400</v>
      </c>
      <c r="B127" s="2" t="s">
        <v>190</v>
      </c>
      <c r="C127" s="2" t="s">
        <v>277</v>
      </c>
      <c r="D127" s="2" t="s">
        <v>272</v>
      </c>
      <c r="E127" s="2">
        <v>4672.3</v>
      </c>
      <c r="F127" s="4">
        <v>45232</v>
      </c>
    </row>
    <row r="128" spans="1:6" x14ac:dyDescent="0.3">
      <c r="A128" s="2" t="s">
        <v>401</v>
      </c>
      <c r="B128" s="2" t="s">
        <v>191</v>
      </c>
      <c r="C128" s="2" t="s">
        <v>281</v>
      </c>
      <c r="D128" s="2" t="s">
        <v>272</v>
      </c>
      <c r="E128" s="2">
        <v>1555.89</v>
      </c>
      <c r="F128" s="4">
        <v>45243</v>
      </c>
    </row>
    <row r="129" spans="1:6" x14ac:dyDescent="0.3">
      <c r="A129" s="2" t="s">
        <v>402</v>
      </c>
      <c r="B129" s="2" t="s">
        <v>192</v>
      </c>
      <c r="C129" s="2" t="s">
        <v>271</v>
      </c>
      <c r="D129" s="2" t="s">
        <v>272</v>
      </c>
      <c r="E129" s="2">
        <v>2296.92</v>
      </c>
      <c r="F129" s="4">
        <v>45031</v>
      </c>
    </row>
    <row r="130" spans="1:6" x14ac:dyDescent="0.3">
      <c r="A130" s="2" t="s">
        <v>403</v>
      </c>
      <c r="B130" s="2" t="s">
        <v>193</v>
      </c>
      <c r="C130" s="2" t="s">
        <v>293</v>
      </c>
      <c r="D130" s="2" t="s">
        <v>272</v>
      </c>
      <c r="E130" s="2">
        <v>1185.8699999999999</v>
      </c>
      <c r="F130" s="4">
        <v>45163</v>
      </c>
    </row>
    <row r="131" spans="1:6" x14ac:dyDescent="0.3">
      <c r="A131" s="2" t="s">
        <v>404</v>
      </c>
      <c r="B131" s="2" t="s">
        <v>194</v>
      </c>
      <c r="C131" s="2" t="s">
        <v>271</v>
      </c>
      <c r="D131" s="2" t="s">
        <v>269</v>
      </c>
      <c r="E131" s="2">
        <v>4966.18</v>
      </c>
      <c r="F131" s="4">
        <v>44980</v>
      </c>
    </row>
    <row r="132" spans="1:6" x14ac:dyDescent="0.3">
      <c r="A132" s="2" t="s">
        <v>405</v>
      </c>
      <c r="B132" s="2" t="s">
        <v>195</v>
      </c>
      <c r="C132" s="2" t="s">
        <v>268</v>
      </c>
      <c r="D132" s="2" t="s">
        <v>274</v>
      </c>
      <c r="E132" s="2">
        <v>4671.5</v>
      </c>
      <c r="F132" s="4">
        <v>45057</v>
      </c>
    </row>
    <row r="133" spans="1:6" x14ac:dyDescent="0.3">
      <c r="A133" s="2" t="s">
        <v>406</v>
      </c>
      <c r="B133" s="2" t="s">
        <v>196</v>
      </c>
      <c r="C133" s="2" t="s">
        <v>281</v>
      </c>
      <c r="D133" s="2" t="s">
        <v>274</v>
      </c>
      <c r="E133" s="2">
        <v>2929.81</v>
      </c>
      <c r="F133" s="4">
        <v>45133</v>
      </c>
    </row>
    <row r="134" spans="1:6" x14ac:dyDescent="0.3">
      <c r="A134" s="2" t="s">
        <v>407</v>
      </c>
      <c r="B134" s="2" t="s">
        <v>197</v>
      </c>
      <c r="C134" s="2" t="s">
        <v>281</v>
      </c>
      <c r="D134" s="2" t="s">
        <v>274</v>
      </c>
      <c r="E134" s="2">
        <v>4289.1499999999996</v>
      </c>
      <c r="F134" s="4">
        <v>45008</v>
      </c>
    </row>
    <row r="135" spans="1:6" x14ac:dyDescent="0.3">
      <c r="A135" s="2" t="s">
        <v>408</v>
      </c>
      <c r="B135" s="2" t="s">
        <v>198</v>
      </c>
      <c r="C135" s="2" t="s">
        <v>281</v>
      </c>
      <c r="D135" s="2" t="s">
        <v>274</v>
      </c>
      <c r="E135" s="2">
        <v>2844.31</v>
      </c>
      <c r="F135" s="4">
        <v>45216</v>
      </c>
    </row>
    <row r="136" spans="1:6" x14ac:dyDescent="0.3">
      <c r="A136" s="2" t="s">
        <v>409</v>
      </c>
      <c r="B136" s="2" t="s">
        <v>199</v>
      </c>
      <c r="C136" s="2" t="s">
        <v>271</v>
      </c>
      <c r="D136" s="2" t="s">
        <v>274</v>
      </c>
      <c r="E136" s="2">
        <v>3306.14</v>
      </c>
      <c r="F136" s="4">
        <v>45178</v>
      </c>
    </row>
    <row r="137" spans="1:6" x14ac:dyDescent="0.3">
      <c r="A137" s="2" t="s">
        <v>410</v>
      </c>
      <c r="B137" s="2" t="s">
        <v>200</v>
      </c>
      <c r="C137" s="2" t="s">
        <v>268</v>
      </c>
      <c r="D137" s="2" t="s">
        <v>274</v>
      </c>
      <c r="E137" s="2">
        <v>901.06</v>
      </c>
      <c r="F137" s="4">
        <v>45059</v>
      </c>
    </row>
    <row r="138" spans="1:6" x14ac:dyDescent="0.3">
      <c r="A138" s="2" t="s">
        <v>411</v>
      </c>
      <c r="B138" s="2" t="s">
        <v>201</v>
      </c>
      <c r="C138" s="2" t="s">
        <v>293</v>
      </c>
      <c r="D138" s="2" t="s">
        <v>274</v>
      </c>
      <c r="E138" s="2">
        <v>3898.72</v>
      </c>
      <c r="F138" s="4">
        <v>45224</v>
      </c>
    </row>
    <row r="139" spans="1:6" x14ac:dyDescent="0.3">
      <c r="A139" s="2" t="s">
        <v>412</v>
      </c>
      <c r="B139" s="2" t="s">
        <v>202</v>
      </c>
      <c r="C139" s="2" t="s">
        <v>293</v>
      </c>
      <c r="D139" s="2" t="s">
        <v>274</v>
      </c>
      <c r="E139" s="2">
        <v>1074.71</v>
      </c>
      <c r="F139" s="4">
        <v>45286</v>
      </c>
    </row>
    <row r="140" spans="1:6" x14ac:dyDescent="0.3">
      <c r="A140" s="2" t="s">
        <v>413</v>
      </c>
      <c r="B140" s="2" t="s">
        <v>203</v>
      </c>
      <c r="C140" s="2" t="s">
        <v>271</v>
      </c>
      <c r="D140" s="2" t="s">
        <v>269</v>
      </c>
      <c r="E140" s="2">
        <v>4217.3</v>
      </c>
      <c r="F140" s="4">
        <v>45209</v>
      </c>
    </row>
    <row r="141" spans="1:6" x14ac:dyDescent="0.3">
      <c r="A141" s="2" t="s">
        <v>414</v>
      </c>
      <c r="B141" s="2" t="s">
        <v>204</v>
      </c>
      <c r="C141" s="2" t="s">
        <v>281</v>
      </c>
      <c r="D141" s="2" t="s">
        <v>274</v>
      </c>
      <c r="E141" s="2">
        <v>4019.13</v>
      </c>
      <c r="F141" s="4">
        <v>44962</v>
      </c>
    </row>
    <row r="142" spans="1:6" x14ac:dyDescent="0.3">
      <c r="A142" s="2" t="s">
        <v>415</v>
      </c>
      <c r="B142" s="2" t="s">
        <v>205</v>
      </c>
      <c r="C142" s="2" t="s">
        <v>277</v>
      </c>
      <c r="D142" s="2" t="s">
        <v>269</v>
      </c>
      <c r="E142" s="2">
        <v>3689.35</v>
      </c>
      <c r="F142" s="4">
        <v>45092</v>
      </c>
    </row>
    <row r="143" spans="1:6" x14ac:dyDescent="0.3">
      <c r="A143" s="2" t="s">
        <v>416</v>
      </c>
      <c r="B143" s="2" t="s">
        <v>206</v>
      </c>
      <c r="C143" s="2" t="s">
        <v>271</v>
      </c>
      <c r="D143" s="2" t="s">
        <v>272</v>
      </c>
      <c r="E143" s="2">
        <v>662.72</v>
      </c>
      <c r="F143" s="4">
        <v>45231</v>
      </c>
    </row>
    <row r="144" spans="1:6" x14ac:dyDescent="0.3">
      <c r="A144" s="2" t="s">
        <v>417</v>
      </c>
      <c r="B144" s="2" t="s">
        <v>207</v>
      </c>
      <c r="C144" s="2" t="s">
        <v>271</v>
      </c>
      <c r="D144" s="2" t="s">
        <v>274</v>
      </c>
      <c r="E144" s="2">
        <v>1864.08</v>
      </c>
      <c r="F144" s="4">
        <v>45190</v>
      </c>
    </row>
    <row r="145" spans="1:6" x14ac:dyDescent="0.3">
      <c r="A145" s="2" t="s">
        <v>418</v>
      </c>
      <c r="B145" s="2" t="s">
        <v>208</v>
      </c>
      <c r="C145" s="2" t="s">
        <v>268</v>
      </c>
      <c r="D145" s="2" t="s">
        <v>272</v>
      </c>
      <c r="E145" s="2">
        <v>1684.01</v>
      </c>
      <c r="F145" s="4">
        <v>45154</v>
      </c>
    </row>
    <row r="146" spans="1:6" x14ac:dyDescent="0.3">
      <c r="A146" s="2" t="s">
        <v>419</v>
      </c>
      <c r="B146" s="2" t="s">
        <v>209</v>
      </c>
      <c r="C146" s="2" t="s">
        <v>293</v>
      </c>
      <c r="D146" s="2" t="s">
        <v>272</v>
      </c>
      <c r="E146" s="2">
        <v>2120.61</v>
      </c>
      <c r="F146" s="4">
        <v>45241</v>
      </c>
    </row>
    <row r="147" spans="1:6" x14ac:dyDescent="0.3">
      <c r="A147" s="2" t="s">
        <v>420</v>
      </c>
      <c r="B147" s="2" t="s">
        <v>210</v>
      </c>
      <c r="C147" s="2" t="s">
        <v>271</v>
      </c>
      <c r="D147" s="2" t="s">
        <v>272</v>
      </c>
      <c r="E147" s="2">
        <v>894.39</v>
      </c>
      <c r="F147" s="4">
        <v>44931</v>
      </c>
    </row>
    <row r="148" spans="1:6" x14ac:dyDescent="0.3">
      <c r="A148" s="2" t="s">
        <v>421</v>
      </c>
      <c r="B148" s="2" t="s">
        <v>211</v>
      </c>
      <c r="C148" s="2" t="s">
        <v>271</v>
      </c>
      <c r="D148" s="2" t="s">
        <v>269</v>
      </c>
      <c r="E148" s="2">
        <v>4716.3100000000004</v>
      </c>
      <c r="F148" s="4">
        <v>45243</v>
      </c>
    </row>
    <row r="149" spans="1:6" x14ac:dyDescent="0.3">
      <c r="A149" s="2" t="s">
        <v>422</v>
      </c>
      <c r="B149" s="2" t="s">
        <v>212</v>
      </c>
      <c r="C149" s="2" t="s">
        <v>281</v>
      </c>
      <c r="D149" s="2" t="s">
        <v>272</v>
      </c>
      <c r="E149" s="2">
        <v>2992.11</v>
      </c>
      <c r="F149" s="4">
        <v>45266</v>
      </c>
    </row>
    <row r="150" spans="1:6" x14ac:dyDescent="0.3">
      <c r="A150" s="2" t="s">
        <v>423</v>
      </c>
      <c r="B150" s="2" t="s">
        <v>213</v>
      </c>
      <c r="C150" s="2" t="s">
        <v>281</v>
      </c>
      <c r="D150" s="2" t="s">
        <v>272</v>
      </c>
      <c r="E150" s="2">
        <v>1874.86</v>
      </c>
      <c r="F150" s="4">
        <v>45133</v>
      </c>
    </row>
    <row r="151" spans="1:6" x14ac:dyDescent="0.3">
      <c r="A151" s="2" t="s">
        <v>424</v>
      </c>
      <c r="B151" s="2" t="s">
        <v>214</v>
      </c>
      <c r="C151" s="2" t="s">
        <v>277</v>
      </c>
      <c r="D151" s="2" t="s">
        <v>272</v>
      </c>
      <c r="E151" s="2">
        <v>2286.42</v>
      </c>
      <c r="F151" s="4">
        <v>45154</v>
      </c>
    </row>
    <row r="152" spans="1:6" x14ac:dyDescent="0.3">
      <c r="A152" s="2" t="s">
        <v>425</v>
      </c>
      <c r="B152" s="2" t="s">
        <v>215</v>
      </c>
      <c r="C152" s="2" t="s">
        <v>268</v>
      </c>
      <c r="D152" s="2" t="s">
        <v>274</v>
      </c>
      <c r="E152" s="2">
        <v>2512.41</v>
      </c>
      <c r="F152" s="4">
        <v>44954</v>
      </c>
    </row>
    <row r="153" spans="1:6" x14ac:dyDescent="0.3">
      <c r="A153" s="2" t="s">
        <v>426</v>
      </c>
      <c r="B153" s="2" t="s">
        <v>216</v>
      </c>
      <c r="C153" s="2" t="s">
        <v>277</v>
      </c>
      <c r="D153" s="2" t="s">
        <v>274</v>
      </c>
      <c r="E153" s="2">
        <v>3202.67</v>
      </c>
      <c r="F153" s="4">
        <v>45030</v>
      </c>
    </row>
    <row r="154" spans="1:6" x14ac:dyDescent="0.3">
      <c r="A154" s="2" t="s">
        <v>427</v>
      </c>
      <c r="B154" s="2" t="s">
        <v>217</v>
      </c>
      <c r="C154" s="2" t="s">
        <v>281</v>
      </c>
      <c r="D154" s="2" t="s">
        <v>269</v>
      </c>
      <c r="E154" s="2">
        <v>2820.56</v>
      </c>
      <c r="F154" s="4">
        <v>45115</v>
      </c>
    </row>
    <row r="155" spans="1:6" x14ac:dyDescent="0.3">
      <c r="A155" s="2" t="s">
        <v>428</v>
      </c>
      <c r="B155" s="2" t="s">
        <v>218</v>
      </c>
      <c r="C155" s="2" t="s">
        <v>293</v>
      </c>
      <c r="D155" s="2" t="s">
        <v>269</v>
      </c>
      <c r="E155" s="2">
        <v>4637.26</v>
      </c>
      <c r="F155" s="4">
        <v>44991</v>
      </c>
    </row>
    <row r="156" spans="1:6" x14ac:dyDescent="0.3">
      <c r="A156" s="2" t="s">
        <v>429</v>
      </c>
      <c r="B156" s="2" t="s">
        <v>219</v>
      </c>
      <c r="C156" s="2" t="s">
        <v>281</v>
      </c>
      <c r="D156" s="2" t="s">
        <v>274</v>
      </c>
      <c r="E156" s="2">
        <v>2736.34</v>
      </c>
      <c r="F156" s="4">
        <v>44929</v>
      </c>
    </row>
    <row r="157" spans="1:6" x14ac:dyDescent="0.3">
      <c r="A157" s="2" t="s">
        <v>430</v>
      </c>
      <c r="B157" s="2" t="s">
        <v>220</v>
      </c>
      <c r="C157" s="2" t="s">
        <v>268</v>
      </c>
      <c r="D157" s="2" t="s">
        <v>269</v>
      </c>
      <c r="E157" s="2">
        <v>4964.71</v>
      </c>
      <c r="F157" s="4">
        <v>45252</v>
      </c>
    </row>
    <row r="158" spans="1:6" x14ac:dyDescent="0.3">
      <c r="A158" s="2" t="s">
        <v>431</v>
      </c>
      <c r="B158" s="2" t="s">
        <v>221</v>
      </c>
      <c r="C158" s="2" t="s">
        <v>281</v>
      </c>
      <c r="D158" s="2" t="s">
        <v>274</v>
      </c>
      <c r="E158" s="2">
        <v>4331.41</v>
      </c>
      <c r="F158" s="4">
        <v>45058</v>
      </c>
    </row>
    <row r="159" spans="1:6" x14ac:dyDescent="0.3">
      <c r="A159" s="2" t="s">
        <v>432</v>
      </c>
      <c r="B159" s="2" t="s">
        <v>222</v>
      </c>
      <c r="C159" s="2" t="s">
        <v>268</v>
      </c>
      <c r="D159" s="2" t="s">
        <v>272</v>
      </c>
      <c r="E159" s="2">
        <v>1438.3</v>
      </c>
      <c r="F159" s="4">
        <v>45119</v>
      </c>
    </row>
    <row r="160" spans="1:6" x14ac:dyDescent="0.3">
      <c r="A160" s="2" t="s">
        <v>433</v>
      </c>
      <c r="B160" s="2" t="s">
        <v>223</v>
      </c>
      <c r="C160" s="2" t="s">
        <v>268</v>
      </c>
      <c r="D160" s="2" t="s">
        <v>272</v>
      </c>
      <c r="E160" s="2">
        <v>4687.68</v>
      </c>
      <c r="F160" s="4">
        <v>45024</v>
      </c>
    </row>
    <row r="161" spans="1:6" x14ac:dyDescent="0.3">
      <c r="A161" s="2" t="s">
        <v>434</v>
      </c>
      <c r="B161" s="2" t="s">
        <v>224</v>
      </c>
      <c r="C161" s="2" t="s">
        <v>268</v>
      </c>
      <c r="D161" s="2" t="s">
        <v>269</v>
      </c>
      <c r="E161" s="2">
        <v>1023.65</v>
      </c>
      <c r="F161" s="4">
        <v>45277</v>
      </c>
    </row>
    <row r="162" spans="1:6" x14ac:dyDescent="0.3">
      <c r="A162" s="2" t="s">
        <v>435</v>
      </c>
      <c r="B162" s="2" t="s">
        <v>225</v>
      </c>
      <c r="C162" s="2" t="s">
        <v>268</v>
      </c>
      <c r="D162" s="2" t="s">
        <v>274</v>
      </c>
      <c r="E162" s="2">
        <v>4178.5200000000004</v>
      </c>
      <c r="F162" s="4">
        <v>45094</v>
      </c>
    </row>
    <row r="163" spans="1:6" x14ac:dyDescent="0.3">
      <c r="A163" s="2" t="s">
        <v>436</v>
      </c>
      <c r="B163" s="2" t="s">
        <v>226</v>
      </c>
      <c r="C163" s="2" t="s">
        <v>268</v>
      </c>
      <c r="D163" s="2" t="s">
        <v>274</v>
      </c>
      <c r="E163" s="2">
        <v>2212.8000000000002</v>
      </c>
      <c r="F163" s="4">
        <v>44927</v>
      </c>
    </row>
    <row r="164" spans="1:6" x14ac:dyDescent="0.3">
      <c r="A164" s="2" t="s">
        <v>437</v>
      </c>
      <c r="B164" s="2" t="s">
        <v>228</v>
      </c>
      <c r="C164" s="2" t="s">
        <v>293</v>
      </c>
      <c r="D164" s="2" t="s">
        <v>269</v>
      </c>
      <c r="E164" s="2">
        <v>4450.88</v>
      </c>
      <c r="F164" s="4">
        <v>45104</v>
      </c>
    </row>
    <row r="165" spans="1:6" x14ac:dyDescent="0.3">
      <c r="A165" s="2" t="s">
        <v>438</v>
      </c>
      <c r="B165" s="2" t="s">
        <v>229</v>
      </c>
      <c r="C165" s="2" t="s">
        <v>277</v>
      </c>
      <c r="D165" s="2" t="s">
        <v>274</v>
      </c>
      <c r="E165" s="2">
        <v>4406.26</v>
      </c>
      <c r="F165" s="4">
        <v>45135</v>
      </c>
    </row>
    <row r="166" spans="1:6" x14ac:dyDescent="0.3">
      <c r="A166" s="2" t="s">
        <v>439</v>
      </c>
      <c r="B166" s="2" t="s">
        <v>230</v>
      </c>
      <c r="C166" s="2" t="s">
        <v>271</v>
      </c>
      <c r="D166" s="2" t="s">
        <v>272</v>
      </c>
      <c r="E166" s="2">
        <v>4126.66</v>
      </c>
      <c r="F166" s="4">
        <v>45020</v>
      </c>
    </row>
    <row r="167" spans="1:6" x14ac:dyDescent="0.3">
      <c r="A167" s="2" t="s">
        <v>440</v>
      </c>
      <c r="B167" s="2" t="s">
        <v>231</v>
      </c>
      <c r="C167" s="2" t="s">
        <v>277</v>
      </c>
      <c r="D167" s="2" t="s">
        <v>269</v>
      </c>
      <c r="E167" s="2">
        <v>4055.14</v>
      </c>
      <c r="F167" s="4">
        <v>44938</v>
      </c>
    </row>
    <row r="168" spans="1:6" x14ac:dyDescent="0.3">
      <c r="A168" s="2" t="s">
        <v>441</v>
      </c>
      <c r="B168" s="2" t="s">
        <v>232</v>
      </c>
      <c r="C168" s="2" t="s">
        <v>268</v>
      </c>
      <c r="D168" s="2" t="s">
        <v>269</v>
      </c>
      <c r="E168" s="2">
        <v>1871.06</v>
      </c>
      <c r="F168" s="4">
        <v>45245</v>
      </c>
    </row>
    <row r="169" spans="1:6" x14ac:dyDescent="0.3">
      <c r="A169" s="2" t="s">
        <v>442</v>
      </c>
      <c r="B169" s="2" t="s">
        <v>233</v>
      </c>
      <c r="C169" s="2" t="s">
        <v>293</v>
      </c>
      <c r="D169" s="2" t="s">
        <v>274</v>
      </c>
      <c r="E169" s="2">
        <v>864.14</v>
      </c>
      <c r="F169" s="4">
        <v>45198</v>
      </c>
    </row>
    <row r="170" spans="1:6" x14ac:dyDescent="0.3">
      <c r="A170" s="2" t="s">
        <v>443</v>
      </c>
      <c r="B170" s="2" t="s">
        <v>234</v>
      </c>
      <c r="C170" s="2" t="s">
        <v>281</v>
      </c>
      <c r="D170" s="2" t="s">
        <v>269</v>
      </c>
      <c r="E170" s="2">
        <v>2313.41</v>
      </c>
      <c r="F170" s="4">
        <v>45131</v>
      </c>
    </row>
    <row r="171" spans="1:6" x14ac:dyDescent="0.3">
      <c r="A171" s="2" t="s">
        <v>444</v>
      </c>
      <c r="B171" s="2" t="s">
        <v>235</v>
      </c>
      <c r="C171" s="2" t="s">
        <v>293</v>
      </c>
      <c r="D171" s="2" t="s">
        <v>274</v>
      </c>
      <c r="E171" s="2">
        <v>1280.8599999999999</v>
      </c>
      <c r="F171" s="4">
        <v>44988</v>
      </c>
    </row>
    <row r="172" spans="1:6" x14ac:dyDescent="0.3">
      <c r="A172" s="2" t="s">
        <v>445</v>
      </c>
      <c r="B172" s="2" t="s">
        <v>236</v>
      </c>
      <c r="C172" s="2" t="s">
        <v>268</v>
      </c>
      <c r="D172" s="2" t="s">
        <v>274</v>
      </c>
      <c r="E172" s="2">
        <v>3627.28</v>
      </c>
      <c r="F172" s="4">
        <v>45034</v>
      </c>
    </row>
    <row r="173" spans="1:6" x14ac:dyDescent="0.3">
      <c r="A173" s="2" t="s">
        <v>446</v>
      </c>
      <c r="B173" s="2" t="s">
        <v>237</v>
      </c>
      <c r="C173" s="2" t="s">
        <v>293</v>
      </c>
      <c r="D173" s="2" t="s">
        <v>274</v>
      </c>
      <c r="E173" s="2">
        <v>2057.4499999999998</v>
      </c>
      <c r="F173" s="4">
        <v>44994</v>
      </c>
    </row>
    <row r="174" spans="1:6" x14ac:dyDescent="0.3">
      <c r="A174" s="2" t="s">
        <v>447</v>
      </c>
      <c r="B174" s="2" t="s">
        <v>238</v>
      </c>
      <c r="C174" s="2" t="s">
        <v>293</v>
      </c>
      <c r="D174" s="2" t="s">
        <v>274</v>
      </c>
      <c r="E174" s="2">
        <v>4890.25</v>
      </c>
      <c r="F174" s="4">
        <v>45081</v>
      </c>
    </row>
    <row r="175" spans="1:6" x14ac:dyDescent="0.3">
      <c r="A175" s="2" t="s">
        <v>448</v>
      </c>
      <c r="B175" s="2" t="s">
        <v>239</v>
      </c>
      <c r="C175" s="2" t="s">
        <v>268</v>
      </c>
      <c r="D175" s="2" t="s">
        <v>274</v>
      </c>
      <c r="E175" s="2">
        <v>3384.37</v>
      </c>
      <c r="F175" s="4">
        <v>45230</v>
      </c>
    </row>
    <row r="176" spans="1:6" x14ac:dyDescent="0.3">
      <c r="A176" s="2" t="s">
        <v>449</v>
      </c>
      <c r="B176" s="2" t="s">
        <v>240</v>
      </c>
      <c r="C176" s="2" t="s">
        <v>293</v>
      </c>
      <c r="D176" s="2" t="s">
        <v>269</v>
      </c>
      <c r="E176" s="2">
        <v>4201.16</v>
      </c>
      <c r="F176" s="4">
        <v>45221</v>
      </c>
    </row>
    <row r="177" spans="1:6" x14ac:dyDescent="0.3">
      <c r="A177" s="2" t="s">
        <v>450</v>
      </c>
      <c r="B177" s="2" t="s">
        <v>241</v>
      </c>
      <c r="C177" s="2" t="s">
        <v>271</v>
      </c>
      <c r="D177" s="2" t="s">
        <v>272</v>
      </c>
      <c r="E177" s="2">
        <v>1096.3599999999999</v>
      </c>
      <c r="F177" s="4">
        <v>45042</v>
      </c>
    </row>
    <row r="178" spans="1:6" x14ac:dyDescent="0.3">
      <c r="A178" s="2" t="s">
        <v>451</v>
      </c>
      <c r="B178" s="2" t="s">
        <v>242</v>
      </c>
      <c r="C178" s="2" t="s">
        <v>271</v>
      </c>
      <c r="D178" s="2" t="s">
        <v>272</v>
      </c>
      <c r="E178" s="2">
        <v>4379.07</v>
      </c>
      <c r="F178" s="4">
        <v>45154</v>
      </c>
    </row>
    <row r="179" spans="1:6" x14ac:dyDescent="0.3">
      <c r="A179" s="2" t="s">
        <v>452</v>
      </c>
      <c r="B179" s="2" t="s">
        <v>243</v>
      </c>
      <c r="C179" s="2" t="s">
        <v>293</v>
      </c>
      <c r="D179" s="2" t="s">
        <v>269</v>
      </c>
      <c r="E179" s="2">
        <v>4652.41</v>
      </c>
      <c r="F179" s="4">
        <v>44943</v>
      </c>
    </row>
    <row r="180" spans="1:6" x14ac:dyDescent="0.3">
      <c r="A180" s="2" t="s">
        <v>453</v>
      </c>
      <c r="B180" s="2" t="s">
        <v>244</v>
      </c>
      <c r="C180" s="2" t="s">
        <v>281</v>
      </c>
      <c r="D180" s="2" t="s">
        <v>269</v>
      </c>
      <c r="E180" s="2">
        <v>2691.78</v>
      </c>
      <c r="F180" s="4">
        <v>44993</v>
      </c>
    </row>
    <row r="181" spans="1:6" x14ac:dyDescent="0.3">
      <c r="A181" s="2" t="s">
        <v>454</v>
      </c>
      <c r="B181" s="2" t="s">
        <v>246</v>
      </c>
      <c r="C181" s="2" t="s">
        <v>268</v>
      </c>
      <c r="D181" s="2" t="s">
        <v>272</v>
      </c>
      <c r="E181" s="2">
        <v>3228.14</v>
      </c>
      <c r="F181" s="4">
        <v>44933</v>
      </c>
    </row>
    <row r="182" spans="1:6" x14ac:dyDescent="0.3">
      <c r="A182" s="2" t="s">
        <v>455</v>
      </c>
      <c r="B182" s="2" t="s">
        <v>247</v>
      </c>
      <c r="C182" s="2" t="s">
        <v>271</v>
      </c>
      <c r="D182" s="2" t="s">
        <v>272</v>
      </c>
      <c r="E182" s="2">
        <v>3941.64</v>
      </c>
      <c r="F182" s="4">
        <v>45172</v>
      </c>
    </row>
    <row r="183" spans="1:6" x14ac:dyDescent="0.3">
      <c r="A183" s="2" t="s">
        <v>456</v>
      </c>
      <c r="B183" s="2" t="s">
        <v>248</v>
      </c>
      <c r="C183" s="2" t="s">
        <v>281</v>
      </c>
      <c r="D183" s="2" t="s">
        <v>272</v>
      </c>
      <c r="E183" s="2">
        <v>1286.77</v>
      </c>
      <c r="F183" s="4">
        <v>45028</v>
      </c>
    </row>
    <row r="184" spans="1:6" x14ac:dyDescent="0.3">
      <c r="A184" s="2" t="s">
        <v>457</v>
      </c>
      <c r="B184" s="2" t="s">
        <v>249</v>
      </c>
      <c r="C184" s="2" t="s">
        <v>293</v>
      </c>
      <c r="D184" s="2" t="s">
        <v>272</v>
      </c>
      <c r="E184" s="2">
        <v>2761.55</v>
      </c>
      <c r="F184" s="4">
        <v>44960</v>
      </c>
    </row>
    <row r="185" spans="1:6" x14ac:dyDescent="0.3">
      <c r="A185" s="2" t="s">
        <v>458</v>
      </c>
      <c r="B185" s="2" t="s">
        <v>250</v>
      </c>
      <c r="C185" s="2" t="s">
        <v>281</v>
      </c>
      <c r="D185" s="2" t="s">
        <v>272</v>
      </c>
      <c r="E185" s="2">
        <v>2293.98</v>
      </c>
      <c r="F185" s="4">
        <v>44983</v>
      </c>
    </row>
    <row r="186" spans="1:6" x14ac:dyDescent="0.3">
      <c r="A186" s="2" t="s">
        <v>459</v>
      </c>
      <c r="B186" s="2" t="s">
        <v>251</v>
      </c>
      <c r="C186" s="2" t="s">
        <v>277</v>
      </c>
      <c r="D186" s="2" t="s">
        <v>274</v>
      </c>
      <c r="E186" s="2">
        <v>1158.68</v>
      </c>
      <c r="F186" s="4">
        <v>45006</v>
      </c>
    </row>
    <row r="187" spans="1:6" x14ac:dyDescent="0.3">
      <c r="A187" s="2" t="s">
        <v>460</v>
      </c>
      <c r="B187" s="2" t="s">
        <v>252</v>
      </c>
      <c r="C187" s="2" t="s">
        <v>271</v>
      </c>
      <c r="D187" s="2" t="s">
        <v>269</v>
      </c>
      <c r="E187" s="2">
        <v>2153.9</v>
      </c>
      <c r="F187" s="4">
        <v>45012</v>
      </c>
    </row>
    <row r="188" spans="1:6" x14ac:dyDescent="0.3">
      <c r="A188" s="2" t="s">
        <v>461</v>
      </c>
      <c r="B188" s="2" t="s">
        <v>253</v>
      </c>
      <c r="C188" s="2" t="s">
        <v>293</v>
      </c>
      <c r="D188" s="2" t="s">
        <v>274</v>
      </c>
      <c r="E188" s="2">
        <v>806.78</v>
      </c>
      <c r="F188" s="4">
        <v>44970</v>
      </c>
    </row>
    <row r="189" spans="1:6" x14ac:dyDescent="0.3">
      <c r="A189" s="2" t="s">
        <v>462</v>
      </c>
      <c r="B189" s="2" t="s">
        <v>254</v>
      </c>
      <c r="C189" s="2" t="s">
        <v>268</v>
      </c>
      <c r="D189" s="2" t="s">
        <v>272</v>
      </c>
      <c r="E189" s="2">
        <v>616.15</v>
      </c>
      <c r="F189" s="4">
        <v>45028</v>
      </c>
    </row>
    <row r="190" spans="1:6" x14ac:dyDescent="0.3">
      <c r="A190" s="2" t="s">
        <v>463</v>
      </c>
      <c r="B190" s="2" t="s">
        <v>255</v>
      </c>
      <c r="C190" s="2" t="s">
        <v>293</v>
      </c>
      <c r="D190" s="2" t="s">
        <v>272</v>
      </c>
      <c r="E190" s="2">
        <v>1108.25</v>
      </c>
      <c r="F190" s="4">
        <v>45204</v>
      </c>
    </row>
    <row r="191" spans="1:6" x14ac:dyDescent="0.3">
      <c r="A191" s="2" t="s">
        <v>464</v>
      </c>
      <c r="B191" s="2" t="s">
        <v>256</v>
      </c>
      <c r="C191" s="2" t="s">
        <v>268</v>
      </c>
      <c r="D191" s="2" t="s">
        <v>272</v>
      </c>
      <c r="E191" s="2">
        <v>4834.0200000000004</v>
      </c>
      <c r="F191" s="4">
        <v>45246</v>
      </c>
    </row>
    <row r="192" spans="1:6" x14ac:dyDescent="0.3">
      <c r="A192" s="2" t="s">
        <v>465</v>
      </c>
      <c r="B192" s="2" t="s">
        <v>257</v>
      </c>
      <c r="C192" s="2" t="s">
        <v>293</v>
      </c>
      <c r="D192" s="2" t="s">
        <v>274</v>
      </c>
      <c r="E192" s="2">
        <v>2972.88</v>
      </c>
      <c r="F192" s="4">
        <v>45028</v>
      </c>
    </row>
    <row r="193" spans="1:6" x14ac:dyDescent="0.3">
      <c r="A193" s="2" t="s">
        <v>466</v>
      </c>
      <c r="B193" s="2" t="s">
        <v>258</v>
      </c>
      <c r="C193" s="2" t="s">
        <v>281</v>
      </c>
      <c r="D193" s="2" t="s">
        <v>274</v>
      </c>
      <c r="E193" s="2">
        <v>4846.2</v>
      </c>
      <c r="F193" s="4">
        <v>45169</v>
      </c>
    </row>
    <row r="194" spans="1:6" x14ac:dyDescent="0.3">
      <c r="A194" s="2" t="s">
        <v>467</v>
      </c>
      <c r="B194" s="2" t="s">
        <v>259</v>
      </c>
      <c r="C194" s="2" t="s">
        <v>281</v>
      </c>
      <c r="D194" s="2" t="s">
        <v>272</v>
      </c>
      <c r="E194" s="2">
        <v>2446.2399999999998</v>
      </c>
      <c r="F194" s="4">
        <v>45184</v>
      </c>
    </row>
    <row r="195" spans="1:6" x14ac:dyDescent="0.3">
      <c r="A195" s="2" t="s">
        <v>468</v>
      </c>
      <c r="B195" s="2" t="s">
        <v>260</v>
      </c>
      <c r="C195" s="2" t="s">
        <v>281</v>
      </c>
      <c r="D195" s="2" t="s">
        <v>274</v>
      </c>
      <c r="E195" s="2">
        <v>1903.17</v>
      </c>
      <c r="F195" s="4">
        <v>45022</v>
      </c>
    </row>
    <row r="196" spans="1:6" x14ac:dyDescent="0.3">
      <c r="A196" s="2" t="s">
        <v>469</v>
      </c>
      <c r="B196" s="2" t="s">
        <v>261</v>
      </c>
      <c r="C196" s="2" t="s">
        <v>277</v>
      </c>
      <c r="D196" s="2" t="s">
        <v>274</v>
      </c>
      <c r="E196" s="2">
        <v>2777.64</v>
      </c>
      <c r="F196" s="4">
        <v>45157</v>
      </c>
    </row>
    <row r="197" spans="1:6" x14ac:dyDescent="0.3">
      <c r="A197" s="2" t="s">
        <v>470</v>
      </c>
      <c r="B197" s="2" t="s">
        <v>262</v>
      </c>
      <c r="C197" s="2" t="s">
        <v>268</v>
      </c>
      <c r="D197" s="2" t="s">
        <v>272</v>
      </c>
      <c r="E197" s="2">
        <v>2477.8000000000002</v>
      </c>
      <c r="F197" s="4">
        <v>45225</v>
      </c>
    </row>
    <row r="198" spans="1:6" x14ac:dyDescent="0.3">
      <c r="A198" s="2" t="s">
        <v>471</v>
      </c>
      <c r="B198" s="2" t="s">
        <v>263</v>
      </c>
      <c r="C198" s="2" t="s">
        <v>281</v>
      </c>
      <c r="D198" s="2" t="s">
        <v>274</v>
      </c>
      <c r="E198" s="2">
        <v>975.49</v>
      </c>
      <c r="F198" s="4">
        <v>45017</v>
      </c>
    </row>
    <row r="199" spans="1:6" x14ac:dyDescent="0.3">
      <c r="A199" s="2" t="s">
        <v>472</v>
      </c>
      <c r="B199" s="2" t="s">
        <v>264</v>
      </c>
      <c r="C199" s="2" t="s">
        <v>277</v>
      </c>
      <c r="D199" s="2" t="s">
        <v>269</v>
      </c>
      <c r="E199" s="2">
        <v>3383.72</v>
      </c>
      <c r="F199" s="4">
        <v>45061</v>
      </c>
    </row>
    <row r="200" spans="1:6" x14ac:dyDescent="0.3">
      <c r="A200" s="2" t="s">
        <v>473</v>
      </c>
      <c r="B200" s="2" t="s">
        <v>265</v>
      </c>
      <c r="C200" s="2" t="s">
        <v>268</v>
      </c>
      <c r="D200" s="2" t="s">
        <v>269</v>
      </c>
      <c r="E200" s="2">
        <v>1472.17</v>
      </c>
      <c r="F200" s="4">
        <v>45047</v>
      </c>
    </row>
    <row r="201" spans="1:6" x14ac:dyDescent="0.3">
      <c r="A201" s="2" t="s">
        <v>474</v>
      </c>
      <c r="B201" s="2" t="s">
        <v>266</v>
      </c>
      <c r="C201" s="2" t="s">
        <v>293</v>
      </c>
      <c r="D201" s="2" t="s">
        <v>269</v>
      </c>
      <c r="E201" s="2">
        <v>3288.15</v>
      </c>
      <c r="F201" s="4">
        <v>45290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F5EAD-6DA9-418B-AFBD-C70D63243A1E}">
  <dimension ref="A3:C20"/>
  <sheetViews>
    <sheetView workbookViewId="0">
      <selection activeCell="B5" sqref="B5"/>
    </sheetView>
  </sheetViews>
  <sheetFormatPr defaultRowHeight="14.4" x14ac:dyDescent="0.3"/>
  <sheetData>
    <row r="3" spans="1:3" x14ac:dyDescent="0.3">
      <c r="A3" s="8"/>
      <c r="B3" s="9"/>
      <c r="C3" s="10"/>
    </row>
    <row r="4" spans="1:3" x14ac:dyDescent="0.3">
      <c r="A4" s="11"/>
      <c r="B4" s="12"/>
      <c r="C4" s="13"/>
    </row>
    <row r="5" spans="1:3" x14ac:dyDescent="0.3">
      <c r="A5" s="11"/>
      <c r="B5" s="12"/>
      <c r="C5" s="13"/>
    </row>
    <row r="6" spans="1:3" x14ac:dyDescent="0.3">
      <c r="A6" s="11"/>
      <c r="B6" s="12"/>
      <c r="C6" s="13"/>
    </row>
    <row r="7" spans="1:3" x14ac:dyDescent="0.3">
      <c r="A7" s="11"/>
      <c r="B7" s="12"/>
      <c r="C7" s="13"/>
    </row>
    <row r="8" spans="1:3" x14ac:dyDescent="0.3">
      <c r="A8" s="11"/>
      <c r="B8" s="12"/>
      <c r="C8" s="13"/>
    </row>
    <row r="9" spans="1:3" x14ac:dyDescent="0.3">
      <c r="A9" s="11"/>
      <c r="B9" s="12"/>
      <c r="C9" s="13"/>
    </row>
    <row r="10" spans="1:3" x14ac:dyDescent="0.3">
      <c r="A10" s="11"/>
      <c r="B10" s="12"/>
      <c r="C10" s="13"/>
    </row>
    <row r="11" spans="1:3" x14ac:dyDescent="0.3">
      <c r="A11" s="11"/>
      <c r="B11" s="12"/>
      <c r="C11" s="13"/>
    </row>
    <row r="12" spans="1:3" x14ac:dyDescent="0.3">
      <c r="A12" s="11"/>
      <c r="B12" s="12"/>
      <c r="C12" s="13"/>
    </row>
    <row r="13" spans="1:3" x14ac:dyDescent="0.3">
      <c r="A13" s="11"/>
      <c r="B13" s="12"/>
      <c r="C13" s="13"/>
    </row>
    <row r="14" spans="1:3" x14ac:dyDescent="0.3">
      <c r="A14" s="11"/>
      <c r="B14" s="12"/>
      <c r="C14" s="13"/>
    </row>
    <row r="15" spans="1:3" x14ac:dyDescent="0.3">
      <c r="A15" s="11"/>
      <c r="B15" s="12"/>
      <c r="C15" s="13"/>
    </row>
    <row r="16" spans="1:3" x14ac:dyDescent="0.3">
      <c r="A16" s="11"/>
      <c r="B16" s="12"/>
      <c r="C16" s="13"/>
    </row>
    <row r="17" spans="1:3" x14ac:dyDescent="0.3">
      <c r="A17" s="11"/>
      <c r="B17" s="12"/>
      <c r="C17" s="13"/>
    </row>
    <row r="18" spans="1:3" x14ac:dyDescent="0.3">
      <c r="A18" s="11"/>
      <c r="B18" s="12"/>
      <c r="C18" s="13"/>
    </row>
    <row r="19" spans="1:3" x14ac:dyDescent="0.3">
      <c r="A19" s="11"/>
      <c r="B19" s="12"/>
      <c r="C19" s="13"/>
    </row>
    <row r="20" spans="1:3" x14ac:dyDescent="0.3">
      <c r="A20" s="14"/>
      <c r="B20" s="15"/>
      <c r="C20" s="1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16E58-B746-4539-9790-1B05CAD0D231}">
  <dimension ref="A1:I11"/>
  <sheetViews>
    <sheetView workbookViewId="0">
      <selection activeCell="D6" sqref="D6"/>
    </sheetView>
  </sheetViews>
  <sheetFormatPr defaultRowHeight="14.4" x14ac:dyDescent="0.3"/>
  <cols>
    <col min="2" max="2" width="9.77734375" bestFit="1" customWidth="1"/>
    <col min="3" max="3" width="9.44140625" bestFit="1" customWidth="1"/>
    <col min="4" max="4" width="9.44140625" customWidth="1"/>
    <col min="5" max="5" width="12" bestFit="1" customWidth="1"/>
    <col min="6" max="6" width="13.44140625" bestFit="1" customWidth="1"/>
    <col min="7" max="7" width="15.33203125" bestFit="1" customWidth="1"/>
    <col min="8" max="8" width="14.109375" bestFit="1" customWidth="1"/>
    <col min="9" max="9" width="25.77734375" bestFit="1" customWidth="1"/>
  </cols>
  <sheetData>
    <row r="1" spans="1:9" x14ac:dyDescent="0.3">
      <c r="A1" s="3" t="s">
        <v>826</v>
      </c>
      <c r="B1" s="3" t="s">
        <v>835</v>
      </c>
      <c r="C1" s="3" t="s">
        <v>836</v>
      </c>
      <c r="D1" s="3" t="s">
        <v>850</v>
      </c>
      <c r="E1" s="3" t="s">
        <v>845</v>
      </c>
      <c r="F1" s="3" t="s">
        <v>846</v>
      </c>
      <c r="G1" s="3" t="s">
        <v>847</v>
      </c>
      <c r="H1" s="3" t="s">
        <v>848</v>
      </c>
      <c r="I1" s="3" t="s">
        <v>844</v>
      </c>
    </row>
    <row r="2" spans="1:9" x14ac:dyDescent="0.3">
      <c r="A2" s="2" t="s">
        <v>52</v>
      </c>
      <c r="B2" s="2" t="s">
        <v>475</v>
      </c>
      <c r="C2" s="2" t="s">
        <v>516</v>
      </c>
      <c r="D2" s="2" t="str">
        <f>_xlfn.CONCAT(B2," ",C2)</f>
        <v>David Taylor</v>
      </c>
      <c r="E2" s="2" t="s">
        <v>596</v>
      </c>
      <c r="F2" s="2">
        <v>8322010158</v>
      </c>
      <c r="G2" s="2">
        <v>17</v>
      </c>
      <c r="H2" s="2" t="s">
        <v>597</v>
      </c>
      <c r="I2" s="2" t="s">
        <v>598</v>
      </c>
    </row>
    <row r="3" spans="1:9" x14ac:dyDescent="0.3">
      <c r="A3" s="2" t="s">
        <v>41</v>
      </c>
      <c r="B3" s="2" t="s">
        <v>531</v>
      </c>
      <c r="C3" s="2" t="s">
        <v>510</v>
      </c>
      <c r="D3" s="2" t="str">
        <f t="shared" ref="D3:D11" si="0">_xlfn.CONCAT(B3," ",C3)</f>
        <v>Jane Davis</v>
      </c>
      <c r="E3" s="2" t="s">
        <v>599</v>
      </c>
      <c r="F3" s="2">
        <v>9004382050</v>
      </c>
      <c r="G3" s="2">
        <v>24</v>
      </c>
      <c r="H3" s="2" t="s">
        <v>600</v>
      </c>
      <c r="I3" s="2" t="s">
        <v>601</v>
      </c>
    </row>
    <row r="4" spans="1:9" x14ac:dyDescent="0.3">
      <c r="A4" s="2" t="s">
        <v>18</v>
      </c>
      <c r="B4" s="2" t="s">
        <v>531</v>
      </c>
      <c r="C4" s="2" t="s">
        <v>483</v>
      </c>
      <c r="D4" s="2" t="str">
        <f t="shared" si="0"/>
        <v>Jane Smith</v>
      </c>
      <c r="E4" s="2" t="s">
        <v>599</v>
      </c>
      <c r="F4" s="2">
        <v>8737740598</v>
      </c>
      <c r="G4" s="2">
        <v>19</v>
      </c>
      <c r="H4" s="2" t="s">
        <v>600</v>
      </c>
      <c r="I4" s="2" t="s">
        <v>602</v>
      </c>
    </row>
    <row r="5" spans="1:9" x14ac:dyDescent="0.3">
      <c r="A5" s="2" t="s">
        <v>7</v>
      </c>
      <c r="B5" s="2" t="s">
        <v>475</v>
      </c>
      <c r="C5" s="2" t="s">
        <v>489</v>
      </c>
      <c r="D5" s="2" t="str">
        <f t="shared" si="0"/>
        <v>David Jones</v>
      </c>
      <c r="E5" s="2" t="s">
        <v>599</v>
      </c>
      <c r="F5" s="2">
        <v>6594221991</v>
      </c>
      <c r="G5" s="2">
        <v>28</v>
      </c>
      <c r="H5" s="2" t="s">
        <v>603</v>
      </c>
      <c r="I5" s="2" t="s">
        <v>604</v>
      </c>
    </row>
    <row r="6" spans="1:9" x14ac:dyDescent="0.3">
      <c r="A6" s="2" t="s">
        <v>67</v>
      </c>
      <c r="B6" s="2" t="s">
        <v>527</v>
      </c>
      <c r="C6" s="2" t="s">
        <v>516</v>
      </c>
      <c r="D6" s="2" t="str">
        <f t="shared" si="0"/>
        <v>Sarah Taylor</v>
      </c>
      <c r="E6" s="2" t="s">
        <v>596</v>
      </c>
      <c r="F6" s="2">
        <v>9118538547</v>
      </c>
      <c r="G6" s="2">
        <v>26</v>
      </c>
      <c r="H6" s="2" t="s">
        <v>603</v>
      </c>
      <c r="I6" s="2" t="s">
        <v>605</v>
      </c>
    </row>
    <row r="7" spans="1:9" x14ac:dyDescent="0.3">
      <c r="A7" s="2" t="s">
        <v>15</v>
      </c>
      <c r="B7" s="2" t="s">
        <v>507</v>
      </c>
      <c r="C7" s="2" t="s">
        <v>510</v>
      </c>
      <c r="D7" s="2" t="str">
        <f t="shared" si="0"/>
        <v>Alex Davis</v>
      </c>
      <c r="E7" s="2" t="s">
        <v>599</v>
      </c>
      <c r="F7" s="2">
        <v>6570137231</v>
      </c>
      <c r="G7" s="2">
        <v>23</v>
      </c>
      <c r="H7" s="2" t="s">
        <v>603</v>
      </c>
      <c r="I7" s="2" t="s">
        <v>606</v>
      </c>
    </row>
    <row r="8" spans="1:9" x14ac:dyDescent="0.3">
      <c r="A8" s="2" t="s">
        <v>25</v>
      </c>
      <c r="B8" s="2" t="s">
        <v>552</v>
      </c>
      <c r="C8" s="2" t="s">
        <v>510</v>
      </c>
      <c r="D8" s="2" t="str">
        <f t="shared" si="0"/>
        <v>Robert Davis</v>
      </c>
      <c r="E8" s="2" t="s">
        <v>607</v>
      </c>
      <c r="F8" s="2">
        <v>8217493115</v>
      </c>
      <c r="G8" s="2">
        <v>26</v>
      </c>
      <c r="H8" s="2" t="s">
        <v>597</v>
      </c>
      <c r="I8" s="2" t="s">
        <v>608</v>
      </c>
    </row>
    <row r="9" spans="1:9" x14ac:dyDescent="0.3">
      <c r="A9" s="2" t="s">
        <v>47</v>
      </c>
      <c r="B9" s="2" t="s">
        <v>504</v>
      </c>
      <c r="C9" s="2" t="s">
        <v>545</v>
      </c>
      <c r="D9" s="2" t="str">
        <f t="shared" si="0"/>
        <v>Linda Brown</v>
      </c>
      <c r="E9" s="2" t="s">
        <v>596</v>
      </c>
      <c r="F9" s="2">
        <v>9069162601</v>
      </c>
      <c r="G9" s="2">
        <v>5</v>
      </c>
      <c r="H9" s="2" t="s">
        <v>597</v>
      </c>
      <c r="I9" s="2" t="s">
        <v>609</v>
      </c>
    </row>
    <row r="10" spans="1:9" x14ac:dyDescent="0.3">
      <c r="A10" s="2" t="s">
        <v>2</v>
      </c>
      <c r="B10" s="2" t="s">
        <v>527</v>
      </c>
      <c r="C10" s="2" t="s">
        <v>483</v>
      </c>
      <c r="D10" s="2" t="str">
        <f t="shared" si="0"/>
        <v>Sarah Smith</v>
      </c>
      <c r="E10" s="2" t="s">
        <v>599</v>
      </c>
      <c r="F10" s="2">
        <v>7387087517</v>
      </c>
      <c r="G10" s="2">
        <v>26</v>
      </c>
      <c r="H10" s="2" t="s">
        <v>603</v>
      </c>
      <c r="I10" s="2" t="s">
        <v>610</v>
      </c>
    </row>
    <row r="11" spans="1:9" x14ac:dyDescent="0.3">
      <c r="A11" s="2" t="s">
        <v>28</v>
      </c>
      <c r="B11" s="2" t="s">
        <v>504</v>
      </c>
      <c r="C11" s="2" t="s">
        <v>499</v>
      </c>
      <c r="D11" s="2" t="str">
        <f t="shared" si="0"/>
        <v>Linda Wilson</v>
      </c>
      <c r="E11" s="2" t="s">
        <v>607</v>
      </c>
      <c r="F11" s="2">
        <v>6176383634</v>
      </c>
      <c r="G11" s="2">
        <v>21</v>
      </c>
      <c r="H11" s="2" t="s">
        <v>600</v>
      </c>
      <c r="I11" s="2" t="s">
        <v>611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86ADC-B766-4AAD-98A4-D91F1E1AC529}">
  <dimension ref="A1:E28"/>
  <sheetViews>
    <sheetView workbookViewId="0">
      <selection activeCell="A4" sqref="A4:A8"/>
    </sheetView>
  </sheetViews>
  <sheetFormatPr defaultRowHeight="14.4" x14ac:dyDescent="0.3"/>
  <cols>
    <col min="1" max="1" width="101.88671875" bestFit="1" customWidth="1"/>
    <col min="2" max="2" width="26" bestFit="1" customWidth="1"/>
    <col min="3" max="3" width="20" bestFit="1" customWidth="1"/>
  </cols>
  <sheetData>
    <row r="1" spans="1:5" x14ac:dyDescent="0.3">
      <c r="A1" s="28"/>
      <c r="B1" s="28"/>
      <c r="C1" s="28"/>
      <c r="D1" s="28"/>
      <c r="E1" s="28"/>
    </row>
    <row r="2" spans="1:5" x14ac:dyDescent="0.3">
      <c r="A2" s="28"/>
      <c r="B2" s="28"/>
      <c r="C2" s="28"/>
      <c r="D2" s="28"/>
      <c r="E2" s="28"/>
    </row>
    <row r="3" spans="1:5" x14ac:dyDescent="0.3">
      <c r="A3" s="28"/>
      <c r="B3" s="28"/>
      <c r="C3" s="28"/>
      <c r="D3" s="28"/>
      <c r="E3" s="28"/>
    </row>
    <row r="4" spans="1:5" ht="25.8" x14ac:dyDescent="0.4">
      <c r="A4" s="22" t="s">
        <v>849</v>
      </c>
      <c r="B4" s="23" t="s">
        <v>856</v>
      </c>
      <c r="C4" s="17"/>
    </row>
    <row r="5" spans="1:5" ht="46.8" x14ac:dyDescent="0.3">
      <c r="A5" s="22" t="s">
        <v>870</v>
      </c>
      <c r="B5" s="24" t="s">
        <v>866</v>
      </c>
      <c r="C5" s="17"/>
    </row>
    <row r="6" spans="1:5" ht="25.8" x14ac:dyDescent="0.3">
      <c r="A6" s="22" t="s">
        <v>873</v>
      </c>
      <c r="B6" s="25" t="s">
        <v>268</v>
      </c>
      <c r="C6" s="25">
        <v>128855.67999999999</v>
      </c>
    </row>
    <row r="7" spans="1:5" ht="25.8" x14ac:dyDescent="0.3">
      <c r="A7" s="22" t="s">
        <v>871</v>
      </c>
      <c r="B7" s="17"/>
      <c r="C7" s="17"/>
    </row>
    <row r="8" spans="1:5" ht="25.8" x14ac:dyDescent="0.5">
      <c r="A8" s="22" t="s">
        <v>872</v>
      </c>
      <c r="B8" s="26" t="s">
        <v>854</v>
      </c>
      <c r="C8" s="17">
        <v>95000.59</v>
      </c>
    </row>
    <row r="9" spans="1:5" ht="15" thickBot="1" x14ac:dyDescent="0.35"/>
    <row r="10" spans="1:5" ht="26.4" thickBot="1" x14ac:dyDescent="0.35">
      <c r="A10" s="19" t="s">
        <v>871</v>
      </c>
    </row>
    <row r="11" spans="1:5" x14ac:dyDescent="0.3">
      <c r="A11" s="20"/>
    </row>
    <row r="12" spans="1:5" x14ac:dyDescent="0.3">
      <c r="A12" s="20"/>
    </row>
    <row r="13" spans="1:5" x14ac:dyDescent="0.3">
      <c r="A13" s="20"/>
    </row>
    <row r="14" spans="1:5" x14ac:dyDescent="0.3">
      <c r="A14" s="20"/>
    </row>
    <row r="15" spans="1:5" x14ac:dyDescent="0.3">
      <c r="A15" s="20"/>
    </row>
    <row r="16" spans="1:5" x14ac:dyDescent="0.3">
      <c r="A16" s="20"/>
    </row>
    <row r="17" spans="1:4" x14ac:dyDescent="0.3">
      <c r="A17" s="20"/>
    </row>
    <row r="18" spans="1:4" x14ac:dyDescent="0.3">
      <c r="A18" s="20"/>
    </row>
    <row r="19" spans="1:4" x14ac:dyDescent="0.3">
      <c r="A19" s="20"/>
    </row>
    <row r="20" spans="1:4" x14ac:dyDescent="0.3">
      <c r="A20" s="20"/>
    </row>
    <row r="21" spans="1:4" x14ac:dyDescent="0.3">
      <c r="A21" s="20"/>
      <c r="C21" t="s">
        <v>268</v>
      </c>
      <c r="D21">
        <v>128855.67999999999</v>
      </c>
    </row>
    <row r="22" spans="1:4" x14ac:dyDescent="0.3">
      <c r="A22" s="20"/>
      <c r="C22" t="s">
        <v>277</v>
      </c>
      <c r="D22">
        <v>96224.24</v>
      </c>
    </row>
    <row r="23" spans="1:4" x14ac:dyDescent="0.3">
      <c r="A23" s="20"/>
      <c r="C23" t="s">
        <v>271</v>
      </c>
      <c r="D23">
        <v>116098.15999999999</v>
      </c>
    </row>
    <row r="24" spans="1:4" x14ac:dyDescent="0.3">
      <c r="A24" s="20"/>
      <c r="C24" t="s">
        <v>281</v>
      </c>
      <c r="D24">
        <v>99418.1</v>
      </c>
    </row>
    <row r="25" spans="1:4" x14ac:dyDescent="0.3">
      <c r="A25" s="20"/>
      <c r="C25" t="s">
        <v>293</v>
      </c>
      <c r="D25">
        <v>110653.67000000001</v>
      </c>
    </row>
    <row r="26" spans="1:4" x14ac:dyDescent="0.3">
      <c r="A26" s="20"/>
    </row>
    <row r="27" spans="1:4" x14ac:dyDescent="0.3">
      <c r="A27" s="20"/>
    </row>
    <row r="28" spans="1:4" ht="15" thickBot="1" x14ac:dyDescent="0.35">
      <c r="A28" s="21"/>
    </row>
  </sheetData>
  <mergeCells count="1">
    <mergeCell ref="A1:E3"/>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AA5F-CC78-439D-B22B-1295C50FD086}">
  <dimension ref="C3:E14"/>
  <sheetViews>
    <sheetView workbookViewId="0">
      <selection activeCell="E24" sqref="E24"/>
    </sheetView>
  </sheetViews>
  <sheetFormatPr defaultRowHeight="14.4" x14ac:dyDescent="0.3"/>
  <cols>
    <col min="4" max="4" width="13.77734375" customWidth="1"/>
    <col min="5" max="5" width="90.109375" bestFit="1" customWidth="1"/>
  </cols>
  <sheetData>
    <row r="3" spans="3:5" x14ac:dyDescent="0.3">
      <c r="C3" s="31" t="s">
        <v>895</v>
      </c>
      <c r="D3" s="32"/>
      <c r="E3" s="32"/>
    </row>
    <row r="4" spans="3:5" x14ac:dyDescent="0.3">
      <c r="C4" s="32"/>
      <c r="D4" s="32"/>
      <c r="E4" s="32"/>
    </row>
    <row r="5" spans="3:5" x14ac:dyDescent="0.3">
      <c r="C5" s="32"/>
      <c r="D5" s="32"/>
      <c r="E5" s="32"/>
    </row>
    <row r="6" spans="3:5" x14ac:dyDescent="0.3">
      <c r="C6" s="32"/>
      <c r="D6" s="32"/>
      <c r="E6" s="32"/>
    </row>
    <row r="7" spans="3:5" x14ac:dyDescent="0.3">
      <c r="C7" s="32"/>
      <c r="D7" s="32"/>
      <c r="E7" s="32"/>
    </row>
    <row r="8" spans="3:5" ht="18" x14ac:dyDescent="0.35">
      <c r="C8" s="18" t="s">
        <v>882</v>
      </c>
      <c r="D8" s="18" t="s">
        <v>883</v>
      </c>
      <c r="E8" s="18" t="s">
        <v>884</v>
      </c>
    </row>
    <row r="9" spans="3:5" ht="18" x14ac:dyDescent="0.35">
      <c r="C9" s="18">
        <v>1</v>
      </c>
      <c r="D9" s="18" t="s">
        <v>885</v>
      </c>
      <c r="E9" s="18" t="s">
        <v>886</v>
      </c>
    </row>
    <row r="10" spans="3:5" ht="18" x14ac:dyDescent="0.35">
      <c r="C10" s="18">
        <v>2</v>
      </c>
      <c r="D10" s="18" t="s">
        <v>885</v>
      </c>
      <c r="E10" s="18" t="s">
        <v>887</v>
      </c>
    </row>
    <row r="11" spans="3:5" ht="18" x14ac:dyDescent="0.35">
      <c r="C11" s="18">
        <v>3</v>
      </c>
      <c r="D11" s="18" t="s">
        <v>885</v>
      </c>
      <c r="E11" s="18" t="s">
        <v>888</v>
      </c>
    </row>
    <row r="12" spans="3:5" ht="18" x14ac:dyDescent="0.35">
      <c r="C12" s="18">
        <v>4</v>
      </c>
      <c r="D12" s="18" t="s">
        <v>889</v>
      </c>
      <c r="E12" s="18" t="s">
        <v>890</v>
      </c>
    </row>
    <row r="13" spans="3:5" ht="18" x14ac:dyDescent="0.35">
      <c r="C13" s="18">
        <v>5</v>
      </c>
      <c r="D13" s="18" t="s">
        <v>891</v>
      </c>
      <c r="E13" s="18" t="s">
        <v>892</v>
      </c>
    </row>
    <row r="14" spans="3:5" ht="18" x14ac:dyDescent="0.35">
      <c r="C14" s="18">
        <v>6</v>
      </c>
      <c r="D14" s="18" t="s">
        <v>893</v>
      </c>
      <c r="E14" s="18" t="s">
        <v>894</v>
      </c>
    </row>
  </sheetData>
  <mergeCells count="1">
    <mergeCell ref="C3:E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F8731-2AF0-45D5-8F60-452E5B41D2EF}">
  <dimension ref="B2:P92"/>
  <sheetViews>
    <sheetView topLeftCell="A16" workbookViewId="0">
      <selection activeCell="C6" sqref="C6"/>
    </sheetView>
  </sheetViews>
  <sheetFormatPr defaultRowHeight="14.4" x14ac:dyDescent="0.3"/>
  <cols>
    <col min="2" max="2" width="12.5546875" bestFit="1" customWidth="1"/>
    <col min="3" max="3" width="14.44140625" bestFit="1" customWidth="1"/>
    <col min="4" max="4" width="17.6640625" bestFit="1" customWidth="1"/>
  </cols>
  <sheetData>
    <row r="2" spans="2:15" x14ac:dyDescent="0.3">
      <c r="B2" s="27"/>
      <c r="C2" s="27"/>
      <c r="D2" s="27"/>
      <c r="E2" s="27"/>
      <c r="F2" s="27"/>
      <c r="G2" s="27"/>
      <c r="H2" s="27"/>
      <c r="I2" s="27"/>
      <c r="J2" s="27"/>
      <c r="K2" s="27"/>
      <c r="L2" s="27"/>
      <c r="M2" s="27"/>
      <c r="N2" s="27"/>
    </row>
    <row r="3" spans="2:15" x14ac:dyDescent="0.3">
      <c r="B3" s="33" t="s">
        <v>862</v>
      </c>
      <c r="C3" s="33" t="s">
        <v>864</v>
      </c>
      <c r="D3" s="27"/>
      <c r="E3" s="27"/>
      <c r="F3" s="27"/>
      <c r="G3" s="27"/>
      <c r="H3" s="27"/>
      <c r="I3" s="27"/>
      <c r="J3" s="27"/>
      <c r="K3" s="27"/>
      <c r="L3" s="27"/>
      <c r="M3" s="27"/>
      <c r="N3" s="27"/>
    </row>
    <row r="4" spans="2:15" x14ac:dyDescent="0.3">
      <c r="B4" s="34" t="s">
        <v>857</v>
      </c>
      <c r="C4" s="35">
        <v>24</v>
      </c>
      <c r="D4" s="27"/>
      <c r="E4" s="27"/>
      <c r="F4" s="27"/>
      <c r="G4" s="27"/>
      <c r="H4" s="27"/>
      <c r="I4" s="27"/>
      <c r="J4" s="27"/>
      <c r="K4" s="27"/>
      <c r="L4" s="27"/>
      <c r="M4" s="27"/>
      <c r="N4" s="27"/>
    </row>
    <row r="5" spans="2:15" x14ac:dyDescent="0.3">
      <c r="B5" s="34" t="s">
        <v>855</v>
      </c>
      <c r="C5" s="35">
        <v>14</v>
      </c>
      <c r="D5" s="27"/>
      <c r="E5" s="27"/>
      <c r="F5" s="27"/>
      <c r="G5" s="27"/>
      <c r="H5" s="27"/>
      <c r="I5" s="27"/>
      <c r="J5" s="27"/>
      <c r="K5" s="27"/>
      <c r="L5" s="27"/>
      <c r="M5" s="27"/>
      <c r="N5" s="27"/>
    </row>
    <row r="6" spans="2:15" x14ac:dyDescent="0.3">
      <c r="B6" s="34" t="s">
        <v>852</v>
      </c>
      <c r="C6" s="35">
        <v>25</v>
      </c>
      <c r="D6" s="27"/>
      <c r="E6" s="27"/>
      <c r="F6" s="27"/>
      <c r="G6" s="27"/>
      <c r="H6" s="27"/>
      <c r="I6" s="27"/>
      <c r="J6" s="27"/>
      <c r="K6" s="27"/>
      <c r="L6" s="27"/>
      <c r="M6" s="27"/>
      <c r="N6" s="27"/>
    </row>
    <row r="7" spans="2:15" x14ac:dyDescent="0.3">
      <c r="B7" s="34" t="s">
        <v>853</v>
      </c>
      <c r="C7" s="35">
        <v>21</v>
      </c>
      <c r="D7" s="27"/>
      <c r="E7" s="27"/>
      <c r="F7" s="27"/>
      <c r="G7" s="27"/>
      <c r="H7" s="27"/>
      <c r="I7" s="27"/>
      <c r="J7" s="27"/>
      <c r="K7" s="27"/>
      <c r="L7" s="27"/>
      <c r="M7" s="27"/>
      <c r="N7" s="27"/>
    </row>
    <row r="8" spans="2:15" x14ac:dyDescent="0.3">
      <c r="B8" s="34" t="s">
        <v>854</v>
      </c>
      <c r="C8" s="35">
        <v>22</v>
      </c>
      <c r="D8" s="27"/>
      <c r="E8" s="27"/>
      <c r="F8" s="27"/>
      <c r="G8" s="27"/>
      <c r="H8" s="27"/>
      <c r="I8" s="27"/>
      <c r="J8" s="27"/>
      <c r="K8" s="27"/>
      <c r="L8" s="27"/>
      <c r="M8" s="27"/>
      <c r="N8" s="27"/>
    </row>
    <row r="9" spans="2:15" x14ac:dyDescent="0.3">
      <c r="B9" s="34" t="s">
        <v>859</v>
      </c>
      <c r="C9" s="35">
        <v>16</v>
      </c>
      <c r="D9" s="27"/>
      <c r="E9" s="27"/>
      <c r="F9" s="27"/>
      <c r="G9" s="27"/>
      <c r="H9" s="27"/>
      <c r="I9" s="27"/>
      <c r="J9" s="27"/>
      <c r="K9" s="27"/>
      <c r="L9" s="27"/>
      <c r="M9" s="27"/>
      <c r="N9" s="27"/>
    </row>
    <row r="10" spans="2:15" x14ac:dyDescent="0.3">
      <c r="B10" s="34" t="s">
        <v>861</v>
      </c>
      <c r="C10" s="35">
        <v>19</v>
      </c>
      <c r="D10" s="27"/>
      <c r="E10" s="27"/>
      <c r="F10" s="27"/>
      <c r="G10" s="27"/>
      <c r="H10" s="27"/>
      <c r="I10" s="27"/>
      <c r="J10" s="27"/>
      <c r="K10" s="27"/>
      <c r="L10" s="27"/>
      <c r="M10" s="27"/>
      <c r="N10" s="27"/>
    </row>
    <row r="11" spans="2:15" x14ac:dyDescent="0.3">
      <c r="B11" s="34" t="s">
        <v>858</v>
      </c>
      <c r="C11" s="35">
        <v>13</v>
      </c>
      <c r="D11" s="27"/>
      <c r="E11" s="27"/>
      <c r="F11" s="27"/>
      <c r="G11" s="27"/>
      <c r="H11" s="27"/>
      <c r="I11" s="27"/>
      <c r="J11" s="27"/>
      <c r="K11" s="27"/>
      <c r="L11" s="27"/>
      <c r="M11" s="27"/>
      <c r="N11" s="27"/>
    </row>
    <row r="12" spans="2:15" x14ac:dyDescent="0.3">
      <c r="B12" s="34" t="s">
        <v>860</v>
      </c>
      <c r="C12" s="35">
        <v>17</v>
      </c>
      <c r="D12" s="27"/>
      <c r="E12" s="27"/>
      <c r="F12" s="27"/>
      <c r="G12" s="27"/>
      <c r="H12" s="27"/>
      <c r="I12" s="27"/>
      <c r="J12" s="27"/>
      <c r="K12" s="27"/>
      <c r="L12" s="27"/>
      <c r="M12" s="27"/>
      <c r="N12" s="27"/>
    </row>
    <row r="13" spans="2:15" x14ac:dyDescent="0.3">
      <c r="B13" s="34" t="s">
        <v>856</v>
      </c>
      <c r="C13" s="35">
        <v>29</v>
      </c>
      <c r="D13" s="27"/>
      <c r="E13" s="27"/>
      <c r="F13" s="27"/>
      <c r="G13" s="27"/>
      <c r="H13" s="27"/>
      <c r="I13" s="27"/>
      <c r="J13" s="27"/>
      <c r="K13" s="27"/>
      <c r="L13" s="27"/>
      <c r="M13" s="27"/>
      <c r="N13" s="27"/>
    </row>
    <row r="14" spans="2:15" x14ac:dyDescent="0.3">
      <c r="B14" s="34" t="s">
        <v>863</v>
      </c>
      <c r="C14" s="35">
        <v>200</v>
      </c>
      <c r="D14" s="27"/>
      <c r="E14" s="27"/>
      <c r="F14" s="27"/>
      <c r="G14" s="27"/>
      <c r="H14" s="27"/>
      <c r="I14" s="27"/>
      <c r="J14" s="27"/>
      <c r="K14" s="27"/>
      <c r="L14" s="27"/>
      <c r="M14" s="27"/>
      <c r="N14" s="27"/>
    </row>
    <row r="15" spans="2:15" x14ac:dyDescent="0.3">
      <c r="B15" s="27"/>
      <c r="C15" s="27"/>
      <c r="D15" s="27"/>
      <c r="E15" s="27"/>
      <c r="F15" s="27"/>
      <c r="G15" s="27"/>
      <c r="H15" s="27"/>
      <c r="I15" s="27"/>
      <c r="J15" s="27"/>
      <c r="K15" s="27"/>
      <c r="L15" s="27"/>
      <c r="M15" s="27"/>
      <c r="N15" s="27"/>
      <c r="O15">
        <f>GETPIVOTDATA("[Measures].[Count of Appointment_Id]",$B$3)</f>
        <v>200</v>
      </c>
    </row>
    <row r="16" spans="2:15" x14ac:dyDescent="0.3">
      <c r="B16" s="27"/>
      <c r="C16" s="27"/>
      <c r="D16" s="27"/>
      <c r="E16" s="27"/>
      <c r="F16" s="27"/>
      <c r="G16" s="27"/>
      <c r="H16" s="27"/>
      <c r="I16" s="27"/>
      <c r="J16" s="27"/>
      <c r="K16" s="27"/>
      <c r="L16" s="27"/>
      <c r="M16" s="27"/>
      <c r="N16" s="27"/>
    </row>
    <row r="17" spans="2:14" x14ac:dyDescent="0.3">
      <c r="B17" s="27"/>
      <c r="C17" s="27"/>
      <c r="D17" s="27"/>
      <c r="E17" s="27"/>
      <c r="F17" s="27"/>
      <c r="G17" s="27"/>
      <c r="H17" s="27"/>
      <c r="I17" s="27"/>
      <c r="J17" s="27"/>
      <c r="K17" s="27"/>
      <c r="L17" s="27"/>
      <c r="M17" s="27"/>
      <c r="N17" s="27"/>
    </row>
    <row r="20" spans="2:14" x14ac:dyDescent="0.3">
      <c r="B20" s="27"/>
      <c r="C20" s="27"/>
      <c r="D20" s="27"/>
      <c r="E20" s="27"/>
      <c r="F20" s="27"/>
      <c r="G20" s="27"/>
      <c r="H20" s="27"/>
      <c r="I20" s="27"/>
      <c r="J20" s="27"/>
      <c r="K20" s="27"/>
      <c r="L20" s="27"/>
      <c r="M20" s="27"/>
      <c r="N20" s="27"/>
    </row>
    <row r="21" spans="2:14" x14ac:dyDescent="0.3">
      <c r="B21" s="27"/>
      <c r="C21" s="27"/>
      <c r="D21" s="27"/>
      <c r="E21" s="27"/>
      <c r="F21" s="27"/>
      <c r="G21" s="27"/>
      <c r="H21" s="27"/>
      <c r="I21" s="27"/>
      <c r="J21" s="27"/>
      <c r="K21" s="27"/>
      <c r="L21" s="27"/>
      <c r="M21" s="27"/>
      <c r="N21" s="27"/>
    </row>
    <row r="22" spans="2:14" x14ac:dyDescent="0.3">
      <c r="B22" s="27"/>
      <c r="C22" s="27"/>
      <c r="D22" s="27"/>
      <c r="E22" s="27"/>
      <c r="F22" s="27"/>
      <c r="G22" s="27"/>
      <c r="H22" s="27"/>
      <c r="I22" s="27"/>
      <c r="J22" s="27"/>
      <c r="K22" s="27"/>
      <c r="L22" s="27"/>
      <c r="M22" s="27"/>
      <c r="N22" s="27"/>
    </row>
    <row r="23" spans="2:14" x14ac:dyDescent="0.3">
      <c r="B23" s="27"/>
      <c r="C23" s="27"/>
      <c r="D23" s="27"/>
      <c r="E23" s="27"/>
      <c r="F23" s="27"/>
      <c r="G23" s="27"/>
      <c r="H23" s="27"/>
      <c r="I23" s="27"/>
      <c r="J23" s="27"/>
      <c r="K23" s="27"/>
      <c r="L23" s="27"/>
      <c r="M23" s="27"/>
      <c r="N23" s="27"/>
    </row>
    <row r="24" spans="2:14" x14ac:dyDescent="0.3">
      <c r="B24" s="27"/>
      <c r="C24" s="27"/>
      <c r="D24" s="27"/>
      <c r="E24" s="27"/>
      <c r="F24" s="27"/>
      <c r="G24" s="27"/>
      <c r="H24" s="27"/>
      <c r="I24" s="27"/>
      <c r="J24" s="27"/>
      <c r="K24" s="27"/>
      <c r="L24" s="27"/>
      <c r="M24" s="27"/>
      <c r="N24" s="27"/>
    </row>
    <row r="25" spans="2:14" x14ac:dyDescent="0.3">
      <c r="B25" s="27"/>
      <c r="C25" s="27"/>
      <c r="D25" s="27"/>
      <c r="E25" s="27"/>
      <c r="F25" s="27"/>
      <c r="G25" s="27"/>
      <c r="H25" s="27"/>
      <c r="I25" s="27"/>
      <c r="J25" s="27"/>
      <c r="K25" s="27"/>
      <c r="L25" s="27"/>
      <c r="M25" s="27"/>
      <c r="N25" s="27"/>
    </row>
    <row r="26" spans="2:14" x14ac:dyDescent="0.3">
      <c r="B26" s="33" t="s">
        <v>862</v>
      </c>
      <c r="C26" s="33" t="s">
        <v>865</v>
      </c>
      <c r="D26" s="27"/>
      <c r="E26" s="27"/>
      <c r="F26" s="27"/>
      <c r="G26" s="27"/>
      <c r="H26" s="27"/>
      <c r="I26" s="27"/>
      <c r="J26" s="27"/>
      <c r="K26" s="27"/>
      <c r="L26" s="27"/>
      <c r="M26" s="27"/>
      <c r="N26" s="27"/>
    </row>
    <row r="27" spans="2:14" x14ac:dyDescent="0.3">
      <c r="B27" s="34" t="s">
        <v>3</v>
      </c>
      <c r="C27" s="35">
        <v>42</v>
      </c>
      <c r="D27" s="27"/>
      <c r="E27" s="27"/>
      <c r="F27" s="27"/>
      <c r="G27" s="27"/>
      <c r="H27" s="27"/>
      <c r="I27" s="27"/>
      <c r="J27" s="27"/>
      <c r="K27" s="27"/>
      <c r="L27" s="27"/>
      <c r="M27" s="27"/>
      <c r="N27" s="27"/>
    </row>
    <row r="28" spans="2:14" x14ac:dyDescent="0.3">
      <c r="B28" s="34" t="s">
        <v>22</v>
      </c>
      <c r="C28" s="35">
        <v>45</v>
      </c>
      <c r="D28" s="27"/>
      <c r="E28" s="27"/>
      <c r="F28" s="27"/>
      <c r="G28" s="27"/>
      <c r="H28" s="27"/>
      <c r="I28" s="27"/>
      <c r="J28" s="27"/>
      <c r="K28" s="27"/>
      <c r="L28" s="27"/>
      <c r="M28" s="27"/>
      <c r="N28" s="27"/>
    </row>
    <row r="29" spans="2:14" x14ac:dyDescent="0.3">
      <c r="B29" s="34" t="s">
        <v>11</v>
      </c>
      <c r="C29" s="35">
        <v>43</v>
      </c>
      <c r="D29" s="27"/>
      <c r="E29" s="27"/>
      <c r="F29" s="27"/>
      <c r="G29" s="27"/>
      <c r="H29" s="27"/>
      <c r="I29" s="27"/>
      <c r="J29" s="27"/>
      <c r="K29" s="27"/>
      <c r="L29" s="27"/>
      <c r="M29" s="27"/>
      <c r="N29" s="27"/>
    </row>
    <row r="30" spans="2:14" x14ac:dyDescent="0.3">
      <c r="B30" s="34" t="s">
        <v>31</v>
      </c>
      <c r="C30" s="35">
        <v>41</v>
      </c>
      <c r="D30" s="27"/>
      <c r="E30" s="27"/>
      <c r="F30" s="27"/>
      <c r="G30" s="27"/>
      <c r="H30" s="27"/>
      <c r="I30" s="27"/>
      <c r="J30" s="27"/>
      <c r="K30" s="27"/>
      <c r="L30" s="27"/>
      <c r="M30" s="27"/>
      <c r="N30" s="27"/>
    </row>
    <row r="31" spans="2:14" x14ac:dyDescent="0.3">
      <c r="B31" s="34" t="s">
        <v>19</v>
      </c>
      <c r="C31" s="35">
        <v>29</v>
      </c>
      <c r="D31" s="27"/>
      <c r="E31" s="27"/>
      <c r="F31" s="27"/>
      <c r="G31" s="27"/>
      <c r="H31" s="27"/>
      <c r="I31" s="27"/>
      <c r="J31" s="27"/>
      <c r="K31" s="27"/>
      <c r="L31" s="27"/>
      <c r="M31" s="27"/>
      <c r="N31" s="27"/>
    </row>
    <row r="32" spans="2:14" x14ac:dyDescent="0.3">
      <c r="B32" s="34" t="s">
        <v>863</v>
      </c>
      <c r="C32" s="35">
        <v>200</v>
      </c>
      <c r="D32" s="27"/>
      <c r="E32" s="27"/>
      <c r="F32" s="27"/>
      <c r="G32" s="27"/>
      <c r="H32" s="27"/>
      <c r="I32" s="27"/>
      <c r="J32" s="27"/>
      <c r="K32" s="27"/>
      <c r="L32" s="27"/>
      <c r="M32" s="27"/>
      <c r="N32" s="27"/>
    </row>
    <row r="33" spans="2:16" x14ac:dyDescent="0.3">
      <c r="B33" s="27"/>
      <c r="C33" s="27"/>
      <c r="D33" s="27"/>
      <c r="E33" s="27"/>
      <c r="F33" s="27"/>
      <c r="G33" s="27"/>
      <c r="H33" s="27"/>
      <c r="I33" s="27"/>
      <c r="J33" s="27"/>
      <c r="K33" s="27"/>
      <c r="L33" s="27"/>
      <c r="M33" s="27"/>
      <c r="N33" s="27"/>
    </row>
    <row r="34" spans="2:16" x14ac:dyDescent="0.3">
      <c r="B34" s="27"/>
      <c r="C34" s="27"/>
      <c r="D34" s="27"/>
      <c r="E34" s="27"/>
      <c r="F34" s="27"/>
      <c r="G34" s="27"/>
      <c r="H34" s="27"/>
      <c r="I34" s="27"/>
      <c r="J34" s="27"/>
      <c r="K34" s="27"/>
      <c r="L34" s="27"/>
      <c r="M34" s="27"/>
      <c r="N34" s="27"/>
    </row>
    <row r="35" spans="2:16" x14ac:dyDescent="0.3">
      <c r="B35" s="27"/>
      <c r="C35" s="27"/>
      <c r="D35" s="27"/>
      <c r="E35" s="27"/>
      <c r="F35" s="27"/>
      <c r="G35" s="27"/>
      <c r="H35" s="27"/>
      <c r="I35" s="27"/>
      <c r="J35" s="27"/>
      <c r="K35" s="27"/>
      <c r="L35" s="27"/>
      <c r="M35" s="27"/>
      <c r="N35" s="27"/>
    </row>
    <row r="36" spans="2:16" x14ac:dyDescent="0.3">
      <c r="B36" s="27"/>
      <c r="C36" s="27"/>
      <c r="D36" s="27"/>
      <c r="E36" s="27"/>
      <c r="F36" s="27"/>
      <c r="G36" s="27"/>
      <c r="H36" s="27"/>
      <c r="I36" s="27"/>
      <c r="J36" s="27"/>
      <c r="K36" s="27"/>
      <c r="L36" s="27"/>
      <c r="M36" s="27"/>
      <c r="N36" s="27"/>
    </row>
    <row r="39" spans="2:16" x14ac:dyDescent="0.3">
      <c r="B39" s="27"/>
      <c r="C39" s="27"/>
      <c r="D39" s="27"/>
      <c r="E39" s="27"/>
      <c r="F39" s="27"/>
      <c r="G39" s="27"/>
      <c r="H39" s="27"/>
      <c r="I39" s="27"/>
      <c r="J39" s="27"/>
      <c r="K39" s="27"/>
      <c r="L39" s="27"/>
      <c r="M39" s="27"/>
      <c r="N39" s="27"/>
    </row>
    <row r="40" spans="2:16" x14ac:dyDescent="0.3">
      <c r="B40" s="33" t="s">
        <v>862</v>
      </c>
      <c r="C40" s="33" t="s">
        <v>868</v>
      </c>
      <c r="D40" s="27"/>
      <c r="E40" s="27"/>
      <c r="F40" s="27"/>
      <c r="G40" s="27"/>
      <c r="H40" s="27"/>
      <c r="I40" s="27"/>
      <c r="J40" s="27"/>
      <c r="K40" s="27"/>
      <c r="L40" s="27"/>
      <c r="M40" s="27"/>
      <c r="N40" s="27"/>
    </row>
    <row r="41" spans="2:16" x14ac:dyDescent="0.3">
      <c r="B41" s="34" t="s">
        <v>268</v>
      </c>
      <c r="C41" s="35">
        <v>128855.67999999999</v>
      </c>
      <c r="D41" s="27"/>
      <c r="E41" s="27"/>
      <c r="F41" s="27"/>
      <c r="G41" s="27"/>
      <c r="H41" s="27"/>
      <c r="I41" s="27"/>
      <c r="J41" s="27"/>
      <c r="K41" s="27"/>
      <c r="L41" s="27"/>
      <c r="M41" s="27"/>
      <c r="N41" s="27"/>
    </row>
    <row r="42" spans="2:16" x14ac:dyDescent="0.3">
      <c r="B42" s="34" t="s">
        <v>277</v>
      </c>
      <c r="C42" s="35">
        <v>96224.24</v>
      </c>
      <c r="D42" s="27"/>
      <c r="E42" s="27"/>
      <c r="F42" s="27"/>
      <c r="G42" s="27"/>
      <c r="H42" s="27"/>
      <c r="I42" s="27"/>
      <c r="J42" s="27"/>
      <c r="K42" s="27"/>
      <c r="L42" s="27"/>
      <c r="M42" s="27"/>
      <c r="N42" s="27"/>
    </row>
    <row r="43" spans="2:16" x14ac:dyDescent="0.3">
      <c r="B43" s="34" t="s">
        <v>271</v>
      </c>
      <c r="C43" s="35">
        <v>116098.16</v>
      </c>
      <c r="D43" s="27"/>
      <c r="E43" s="27"/>
      <c r="F43" s="27"/>
      <c r="G43" s="27"/>
      <c r="H43" s="27"/>
      <c r="I43" s="27"/>
      <c r="J43" s="27"/>
      <c r="K43" s="27"/>
      <c r="L43" s="27"/>
      <c r="M43" s="27"/>
      <c r="N43" s="27"/>
      <c r="P43">
        <f>AVERAGE(GETPIVOTDATA("[Measures].[Sum of Amount]",$B$40))</f>
        <v>551249.85</v>
      </c>
    </row>
    <row r="44" spans="2:16" x14ac:dyDescent="0.3">
      <c r="B44" s="34" t="s">
        <v>281</v>
      </c>
      <c r="C44" s="35">
        <v>99418.1</v>
      </c>
      <c r="D44" s="27"/>
      <c r="E44" s="27"/>
      <c r="F44" s="27"/>
      <c r="G44" s="27"/>
      <c r="H44" s="27"/>
      <c r="I44" s="27"/>
      <c r="J44" s="27"/>
      <c r="K44" s="27"/>
      <c r="L44" s="27"/>
      <c r="M44" s="27"/>
      <c r="N44" s="27"/>
    </row>
    <row r="45" spans="2:16" x14ac:dyDescent="0.3">
      <c r="B45" s="34" t="s">
        <v>293</v>
      </c>
      <c r="C45" s="35">
        <v>110653.67</v>
      </c>
      <c r="D45" s="27"/>
      <c r="E45" s="27"/>
      <c r="F45" s="27"/>
      <c r="G45" s="27"/>
      <c r="H45" s="27"/>
      <c r="I45" s="27"/>
      <c r="J45" s="27"/>
      <c r="K45" s="27"/>
      <c r="L45" s="27"/>
      <c r="M45" s="27"/>
      <c r="N45" s="27"/>
    </row>
    <row r="46" spans="2:16" x14ac:dyDescent="0.3">
      <c r="B46" s="34" t="s">
        <v>863</v>
      </c>
      <c r="C46" s="35">
        <v>551249.85</v>
      </c>
      <c r="D46" s="27"/>
      <c r="E46" s="27"/>
      <c r="F46" s="27"/>
      <c r="G46" s="27"/>
      <c r="H46" s="27"/>
      <c r="I46" s="27"/>
      <c r="J46" s="27"/>
      <c r="K46" s="27"/>
      <c r="L46" s="27"/>
      <c r="M46" s="27"/>
      <c r="N46" s="27"/>
      <c r="P46">
        <f>GETPIVOTDATA("[Measures].[Sum of Amount]",$B$40)</f>
        <v>551249.85</v>
      </c>
    </row>
    <row r="47" spans="2:16" x14ac:dyDescent="0.3">
      <c r="B47" s="27"/>
      <c r="C47" s="27"/>
      <c r="D47" s="27"/>
      <c r="E47" s="27"/>
      <c r="F47" s="27"/>
      <c r="G47" s="27"/>
      <c r="H47" s="27"/>
      <c r="I47" s="27"/>
      <c r="J47" s="27"/>
      <c r="K47" s="27"/>
      <c r="L47" s="27"/>
      <c r="M47" s="27"/>
      <c r="N47" s="27"/>
    </row>
    <row r="48" spans="2:16" x14ac:dyDescent="0.3">
      <c r="B48" s="27"/>
      <c r="C48" s="27"/>
      <c r="D48" s="27"/>
      <c r="E48" s="27"/>
      <c r="F48" s="27"/>
      <c r="G48" s="27"/>
      <c r="H48" s="27"/>
      <c r="I48" s="27"/>
      <c r="J48" s="27"/>
      <c r="K48" s="27"/>
      <c r="L48" s="27"/>
      <c r="M48" s="27"/>
      <c r="N48" s="27"/>
    </row>
    <row r="49" spans="2:14" x14ac:dyDescent="0.3">
      <c r="B49" s="27"/>
      <c r="C49" s="27"/>
      <c r="D49" s="27"/>
      <c r="E49" s="27"/>
      <c r="F49" s="27"/>
      <c r="G49" s="27"/>
      <c r="H49" s="27"/>
      <c r="I49" s="27"/>
      <c r="J49" s="27"/>
      <c r="K49" s="27"/>
      <c r="L49" s="27"/>
      <c r="M49" s="27"/>
      <c r="N49" s="27"/>
    </row>
    <row r="50" spans="2:14" x14ac:dyDescent="0.3">
      <c r="B50" s="27"/>
      <c r="C50" s="27"/>
      <c r="D50" s="27"/>
      <c r="E50" s="27"/>
      <c r="F50" s="27"/>
      <c r="G50" s="27"/>
      <c r="H50" s="27"/>
      <c r="I50" s="27"/>
      <c r="J50" s="27"/>
      <c r="K50" s="27"/>
      <c r="L50" s="27"/>
      <c r="M50" s="27"/>
      <c r="N50" s="27"/>
    </row>
    <row r="51" spans="2:14" x14ac:dyDescent="0.3">
      <c r="B51" s="27"/>
      <c r="C51" s="27"/>
      <c r="D51" s="27"/>
      <c r="E51" s="27"/>
      <c r="F51" s="27"/>
      <c r="G51" s="27"/>
      <c r="H51" s="27"/>
      <c r="I51" s="27"/>
      <c r="J51" s="27"/>
      <c r="K51" s="27"/>
      <c r="L51" s="27"/>
      <c r="M51" s="27"/>
      <c r="N51" s="27"/>
    </row>
    <row r="52" spans="2:14" x14ac:dyDescent="0.3">
      <c r="B52" s="27"/>
      <c r="C52" s="27"/>
      <c r="D52" s="27"/>
      <c r="E52" s="27"/>
      <c r="F52" s="27"/>
      <c r="G52" s="27"/>
      <c r="H52" s="27"/>
      <c r="I52" s="27"/>
      <c r="J52" s="27"/>
      <c r="K52" s="27"/>
      <c r="L52" s="27"/>
      <c r="M52" s="27"/>
      <c r="N52" s="27"/>
    </row>
    <row r="53" spans="2:14" x14ac:dyDescent="0.3">
      <c r="B53" s="27"/>
      <c r="C53" s="27"/>
      <c r="D53" s="27"/>
      <c r="E53" s="27"/>
      <c r="F53" s="27"/>
      <c r="G53" s="27"/>
      <c r="H53" s="27"/>
      <c r="I53" s="27"/>
      <c r="J53" s="27"/>
      <c r="K53" s="27"/>
      <c r="L53" s="27"/>
      <c r="M53" s="27"/>
      <c r="N53" s="27"/>
    </row>
    <row r="54" spans="2:14" x14ac:dyDescent="0.3">
      <c r="B54" s="27"/>
      <c r="C54" s="27"/>
      <c r="D54" s="27"/>
      <c r="E54" s="27"/>
      <c r="F54" s="27"/>
      <c r="G54" s="27"/>
      <c r="H54" s="27"/>
      <c r="I54" s="27"/>
      <c r="J54" s="27"/>
      <c r="K54" s="27"/>
      <c r="L54" s="27"/>
      <c r="M54" s="27"/>
      <c r="N54" s="27"/>
    </row>
    <row r="58" spans="2:14" x14ac:dyDescent="0.3">
      <c r="B58" s="27"/>
      <c r="C58" s="27"/>
      <c r="D58" s="27"/>
      <c r="E58" s="27"/>
      <c r="F58" s="27"/>
      <c r="G58" s="27"/>
      <c r="H58" s="27"/>
      <c r="I58" s="27"/>
      <c r="J58" s="27"/>
      <c r="K58" s="27"/>
      <c r="L58" s="27"/>
      <c r="M58" s="27"/>
      <c r="N58" s="27"/>
    </row>
    <row r="59" spans="2:14" x14ac:dyDescent="0.3">
      <c r="B59" s="33" t="s">
        <v>862</v>
      </c>
      <c r="C59" s="33" t="s">
        <v>868</v>
      </c>
      <c r="D59" s="27"/>
      <c r="E59" s="27"/>
      <c r="F59" s="27"/>
      <c r="G59" s="27"/>
      <c r="H59" s="27"/>
      <c r="I59" s="27"/>
      <c r="J59" s="27"/>
      <c r="K59" s="27"/>
      <c r="L59" s="27"/>
      <c r="M59" s="27"/>
      <c r="N59" s="27"/>
    </row>
    <row r="60" spans="2:14" x14ac:dyDescent="0.3">
      <c r="B60" s="34" t="s">
        <v>896</v>
      </c>
      <c r="C60" s="35">
        <v>64271.54</v>
      </c>
      <c r="D60" s="27"/>
      <c r="E60" s="27"/>
      <c r="F60" s="27"/>
      <c r="G60" s="27"/>
      <c r="H60" s="27"/>
      <c r="I60" s="27"/>
      <c r="J60" s="27"/>
      <c r="K60" s="27"/>
      <c r="L60" s="27"/>
      <c r="M60" s="27"/>
      <c r="N60" s="27"/>
    </row>
    <row r="61" spans="2:14" x14ac:dyDescent="0.3">
      <c r="B61" s="34" t="s">
        <v>897</v>
      </c>
      <c r="C61" s="35">
        <v>41958.67</v>
      </c>
      <c r="D61" s="27"/>
      <c r="E61" s="27"/>
      <c r="F61" s="27"/>
      <c r="G61" s="27"/>
      <c r="H61" s="27"/>
      <c r="I61" s="27"/>
      <c r="J61" s="27"/>
      <c r="K61" s="27"/>
      <c r="L61" s="27"/>
      <c r="M61" s="27"/>
      <c r="N61" s="27"/>
    </row>
    <row r="62" spans="2:14" x14ac:dyDescent="0.3">
      <c r="B62" s="34" t="s">
        <v>898</v>
      </c>
      <c r="C62" s="35">
        <v>27569.71</v>
      </c>
      <c r="D62" s="27"/>
      <c r="E62" s="27"/>
      <c r="F62" s="27"/>
      <c r="G62" s="27"/>
      <c r="H62" s="27"/>
      <c r="I62" s="27"/>
      <c r="J62" s="27"/>
      <c r="K62" s="27"/>
      <c r="L62" s="27"/>
      <c r="M62" s="27"/>
      <c r="N62" s="27"/>
    </row>
    <row r="63" spans="2:14" x14ac:dyDescent="0.3">
      <c r="B63" s="34" t="s">
        <v>899</v>
      </c>
      <c r="C63" s="35">
        <v>36669.69</v>
      </c>
      <c r="D63" s="27"/>
      <c r="E63" s="27"/>
      <c r="F63" s="27"/>
      <c r="G63" s="27"/>
      <c r="H63" s="27"/>
      <c r="I63" s="27"/>
      <c r="J63" s="27"/>
      <c r="K63" s="27"/>
      <c r="L63" s="27"/>
      <c r="M63" s="27"/>
      <c r="N63" s="27"/>
    </row>
    <row r="64" spans="2:14" x14ac:dyDescent="0.3">
      <c r="B64" s="34" t="s">
        <v>900</v>
      </c>
      <c r="C64" s="35">
        <v>58701.23</v>
      </c>
      <c r="D64" s="27"/>
      <c r="E64" s="27"/>
      <c r="F64" s="27"/>
      <c r="G64" s="27"/>
      <c r="H64" s="27"/>
      <c r="I64" s="27"/>
      <c r="J64" s="27"/>
      <c r="K64" s="27"/>
      <c r="L64" s="27"/>
      <c r="M64" s="27"/>
      <c r="N64" s="27"/>
    </row>
    <row r="65" spans="2:14" x14ac:dyDescent="0.3">
      <c r="B65" s="34" t="s">
        <v>878</v>
      </c>
      <c r="C65" s="35">
        <v>39880.19</v>
      </c>
      <c r="D65" s="27"/>
      <c r="E65" s="27"/>
      <c r="F65" s="27"/>
      <c r="G65" s="27"/>
      <c r="H65" s="27"/>
      <c r="I65" s="27"/>
      <c r="J65" s="27"/>
      <c r="K65" s="27"/>
      <c r="L65" s="27"/>
      <c r="M65" s="27"/>
      <c r="N65" s="27"/>
    </row>
    <row r="66" spans="2:14" x14ac:dyDescent="0.3">
      <c r="B66" s="34" t="s">
        <v>879</v>
      </c>
      <c r="C66" s="35">
        <v>56887.82</v>
      </c>
      <c r="D66" s="27"/>
      <c r="E66" s="27"/>
      <c r="F66" s="27"/>
      <c r="G66" s="27"/>
      <c r="H66" s="27"/>
      <c r="I66" s="27"/>
      <c r="J66" s="27"/>
      <c r="K66" s="27"/>
      <c r="L66" s="27"/>
      <c r="M66" s="27"/>
      <c r="N66" s="27"/>
    </row>
    <row r="67" spans="2:14" x14ac:dyDescent="0.3">
      <c r="B67" s="34" t="s">
        <v>880</v>
      </c>
      <c r="C67" s="35">
        <v>47304.29</v>
      </c>
      <c r="D67" s="27"/>
      <c r="E67" s="27"/>
      <c r="F67" s="27"/>
      <c r="G67" s="27"/>
      <c r="H67" s="27"/>
      <c r="I67" s="27"/>
      <c r="J67" s="27"/>
      <c r="K67" s="27"/>
      <c r="L67" s="27"/>
      <c r="M67" s="27"/>
      <c r="N67" s="27"/>
    </row>
    <row r="68" spans="2:14" x14ac:dyDescent="0.3">
      <c r="B68" s="34" t="s">
        <v>876</v>
      </c>
      <c r="C68" s="35">
        <v>48791.05</v>
      </c>
      <c r="D68" s="27"/>
      <c r="E68" s="27"/>
      <c r="F68" s="27"/>
      <c r="G68" s="27"/>
      <c r="H68" s="27"/>
      <c r="I68" s="27"/>
      <c r="J68" s="27"/>
      <c r="K68" s="27"/>
      <c r="L68" s="27"/>
      <c r="M68" s="27"/>
      <c r="N68" s="27"/>
    </row>
    <row r="69" spans="2:14" x14ac:dyDescent="0.3">
      <c r="B69" s="34" t="s">
        <v>877</v>
      </c>
      <c r="C69" s="35">
        <v>52474.98</v>
      </c>
      <c r="D69" s="27"/>
      <c r="E69" s="27"/>
      <c r="F69" s="27"/>
      <c r="G69" s="27"/>
      <c r="H69" s="27"/>
      <c r="I69" s="27"/>
      <c r="J69" s="27"/>
      <c r="K69" s="27"/>
      <c r="L69" s="27"/>
      <c r="M69" s="27"/>
      <c r="N69" s="27"/>
    </row>
    <row r="70" spans="2:14" x14ac:dyDescent="0.3">
      <c r="B70" s="34" t="s">
        <v>881</v>
      </c>
      <c r="C70" s="35">
        <v>43314.15</v>
      </c>
      <c r="D70" s="27"/>
      <c r="E70" s="27"/>
      <c r="F70" s="27"/>
      <c r="G70" s="27"/>
      <c r="H70" s="27"/>
      <c r="I70" s="27"/>
      <c r="J70" s="27"/>
      <c r="K70" s="27"/>
      <c r="L70" s="27"/>
      <c r="M70" s="27"/>
      <c r="N70" s="27"/>
    </row>
    <row r="71" spans="2:14" x14ac:dyDescent="0.3">
      <c r="B71" s="34" t="s">
        <v>875</v>
      </c>
      <c r="C71" s="35">
        <v>33426.53</v>
      </c>
      <c r="D71" s="27"/>
      <c r="E71" s="27"/>
      <c r="F71" s="27"/>
      <c r="G71" s="27"/>
      <c r="H71" s="27"/>
      <c r="I71" s="27"/>
      <c r="J71" s="27"/>
      <c r="K71" s="27"/>
      <c r="L71" s="27"/>
      <c r="M71" s="27"/>
      <c r="N71" s="27"/>
    </row>
    <row r="72" spans="2:14" x14ac:dyDescent="0.3">
      <c r="B72" s="34" t="s">
        <v>863</v>
      </c>
      <c r="C72" s="35">
        <v>551249.85</v>
      </c>
      <c r="D72" s="27"/>
      <c r="E72" s="27"/>
      <c r="F72" s="27"/>
      <c r="G72" s="27"/>
      <c r="H72" s="27"/>
      <c r="I72" s="27"/>
      <c r="J72" s="27"/>
      <c r="K72" s="27"/>
      <c r="L72" s="27"/>
      <c r="M72" s="27"/>
      <c r="N72" s="27"/>
    </row>
    <row r="73" spans="2:14" x14ac:dyDescent="0.3">
      <c r="B73" s="27"/>
      <c r="C73" s="27"/>
      <c r="D73" s="27"/>
      <c r="E73" s="27"/>
      <c r="F73" s="27"/>
      <c r="G73" s="27"/>
      <c r="H73" s="27"/>
      <c r="I73" s="27"/>
      <c r="J73" s="27"/>
      <c r="K73" s="27"/>
      <c r="L73" s="27"/>
      <c r="M73" s="27"/>
      <c r="N73" s="27"/>
    </row>
    <row r="74" spans="2:14" x14ac:dyDescent="0.3">
      <c r="B74" s="27"/>
      <c r="C74" s="27"/>
      <c r="D74" s="27"/>
      <c r="E74" s="27"/>
      <c r="F74" s="27"/>
      <c r="G74" s="27"/>
      <c r="H74" s="27"/>
      <c r="I74" s="27"/>
      <c r="J74" s="27"/>
      <c r="K74" s="27"/>
      <c r="L74" s="27"/>
      <c r="M74" s="27"/>
      <c r="N74" s="27"/>
    </row>
    <row r="77" spans="2:14" x14ac:dyDescent="0.3">
      <c r="B77" s="27"/>
      <c r="C77" s="27"/>
      <c r="D77" s="27"/>
      <c r="E77" s="27"/>
      <c r="F77" s="27"/>
      <c r="G77" s="27"/>
      <c r="H77" s="27"/>
      <c r="I77" s="27"/>
      <c r="J77" s="27"/>
      <c r="K77" s="27"/>
      <c r="L77" s="27"/>
    </row>
    <row r="78" spans="2:14" x14ac:dyDescent="0.3">
      <c r="B78" s="33" t="s">
        <v>862</v>
      </c>
      <c r="C78" s="33" t="s">
        <v>868</v>
      </c>
      <c r="D78" s="27"/>
      <c r="E78" s="27"/>
      <c r="F78" s="27"/>
      <c r="G78" s="27"/>
      <c r="H78" s="27"/>
      <c r="I78" s="27"/>
      <c r="J78" s="27"/>
      <c r="K78" s="27"/>
      <c r="L78" s="27"/>
    </row>
    <row r="79" spans="2:14" x14ac:dyDescent="0.3">
      <c r="B79" s="34" t="s">
        <v>857</v>
      </c>
      <c r="C79" s="35">
        <v>87705.86</v>
      </c>
      <c r="D79" s="27"/>
      <c r="E79" s="27"/>
      <c r="F79" s="27"/>
      <c r="G79" s="27"/>
      <c r="H79" s="27"/>
      <c r="I79" s="27"/>
      <c r="J79" s="27"/>
      <c r="K79" s="27"/>
      <c r="L79" s="27"/>
    </row>
    <row r="80" spans="2:14" x14ac:dyDescent="0.3">
      <c r="B80" s="34" t="s">
        <v>855</v>
      </c>
      <c r="C80" s="35">
        <v>56940.01</v>
      </c>
      <c r="D80" s="27"/>
      <c r="E80" s="27"/>
      <c r="F80" s="27"/>
      <c r="G80" s="27"/>
      <c r="H80" s="27"/>
      <c r="I80" s="27"/>
      <c r="J80" s="27"/>
      <c r="K80" s="27"/>
      <c r="L80" s="27"/>
    </row>
    <row r="81" spans="2:12" x14ac:dyDescent="0.3">
      <c r="B81" s="34" t="s">
        <v>852</v>
      </c>
      <c r="C81" s="35">
        <v>15623.46</v>
      </c>
      <c r="D81" s="27"/>
      <c r="E81" s="27"/>
      <c r="F81" s="27"/>
      <c r="G81" s="27"/>
      <c r="H81" s="27"/>
      <c r="I81" s="27"/>
      <c r="J81" s="27"/>
      <c r="K81" s="27"/>
      <c r="L81" s="27"/>
    </row>
    <row r="82" spans="2:12" x14ac:dyDescent="0.3">
      <c r="B82" s="34" t="s">
        <v>853</v>
      </c>
      <c r="C82" s="35">
        <v>59092.35</v>
      </c>
      <c r="D82" s="27"/>
      <c r="E82" s="27"/>
      <c r="F82" s="27"/>
      <c r="G82" s="27"/>
      <c r="H82" s="27"/>
      <c r="I82" s="27"/>
      <c r="J82" s="27"/>
      <c r="K82" s="27"/>
      <c r="L82" s="27"/>
    </row>
    <row r="83" spans="2:12" x14ac:dyDescent="0.3">
      <c r="B83" s="34" t="s">
        <v>854</v>
      </c>
      <c r="C83" s="35">
        <v>95000.59</v>
      </c>
      <c r="D83" s="27"/>
      <c r="E83" s="27"/>
      <c r="F83" s="27"/>
      <c r="G83" s="27"/>
      <c r="H83" s="27"/>
      <c r="I83" s="27"/>
      <c r="J83" s="27"/>
      <c r="K83" s="27"/>
      <c r="L83" s="27"/>
    </row>
    <row r="84" spans="2:12" x14ac:dyDescent="0.3">
      <c r="B84" s="34" t="s">
        <v>859</v>
      </c>
      <c r="C84" s="35">
        <v>32862.14</v>
      </c>
      <c r="D84" s="27"/>
      <c r="E84" s="27"/>
      <c r="F84" s="27"/>
      <c r="G84" s="27"/>
      <c r="H84" s="27"/>
      <c r="I84" s="27"/>
      <c r="J84" s="27"/>
      <c r="K84" s="27"/>
      <c r="L84" s="27"/>
    </row>
    <row r="85" spans="2:12" x14ac:dyDescent="0.3">
      <c r="B85" s="34" t="s">
        <v>861</v>
      </c>
      <c r="C85" s="35">
        <v>75083.88</v>
      </c>
      <c r="D85" s="27"/>
      <c r="E85" s="27"/>
      <c r="F85" s="27"/>
      <c r="G85" s="27"/>
      <c r="H85" s="27"/>
      <c r="I85" s="27"/>
      <c r="J85" s="27"/>
      <c r="K85" s="27"/>
      <c r="L85" s="27"/>
    </row>
    <row r="86" spans="2:12" x14ac:dyDescent="0.3">
      <c r="B86" s="34" t="s">
        <v>858</v>
      </c>
      <c r="C86" s="35">
        <v>39147.94</v>
      </c>
      <c r="D86" s="27"/>
      <c r="E86" s="27"/>
      <c r="F86" s="27"/>
      <c r="G86" s="27"/>
      <c r="H86" s="27"/>
      <c r="I86" s="27"/>
      <c r="J86" s="27"/>
      <c r="K86" s="27"/>
      <c r="L86" s="27"/>
    </row>
    <row r="87" spans="2:12" x14ac:dyDescent="0.3">
      <c r="B87" s="34" t="s">
        <v>860</v>
      </c>
      <c r="C87" s="35">
        <v>66305.42</v>
      </c>
      <c r="D87" s="27"/>
      <c r="E87" s="27"/>
      <c r="F87" s="27"/>
      <c r="G87" s="27"/>
      <c r="H87" s="27"/>
      <c r="I87" s="27"/>
      <c r="J87" s="27"/>
      <c r="K87" s="27"/>
      <c r="L87" s="27"/>
    </row>
    <row r="88" spans="2:12" x14ac:dyDescent="0.3">
      <c r="B88" s="34" t="s">
        <v>856</v>
      </c>
      <c r="C88" s="35">
        <v>23488.2</v>
      </c>
      <c r="D88" s="27"/>
      <c r="E88" s="27"/>
      <c r="F88" s="27"/>
      <c r="G88" s="27"/>
      <c r="H88" s="27"/>
      <c r="I88" s="27"/>
      <c r="J88" s="27"/>
      <c r="K88" s="27"/>
      <c r="L88" s="27"/>
    </row>
    <row r="89" spans="2:12" x14ac:dyDescent="0.3">
      <c r="B89" s="34" t="s">
        <v>863</v>
      </c>
      <c r="C89" s="35">
        <v>551249.85</v>
      </c>
      <c r="D89" s="27"/>
      <c r="E89" s="27"/>
      <c r="F89" s="27"/>
      <c r="G89" s="27"/>
      <c r="H89" s="27"/>
      <c r="I89" s="27"/>
      <c r="J89" s="27"/>
      <c r="K89" s="27"/>
      <c r="L89" s="27"/>
    </row>
    <row r="90" spans="2:12" x14ac:dyDescent="0.3">
      <c r="B90" s="27"/>
      <c r="C90" s="27"/>
      <c r="D90" s="27"/>
      <c r="E90" s="27"/>
      <c r="F90" s="27"/>
      <c r="G90" s="27"/>
      <c r="H90" s="27"/>
      <c r="I90" s="27"/>
      <c r="J90" s="27"/>
      <c r="K90" s="27"/>
      <c r="L90" s="27"/>
    </row>
    <row r="91" spans="2:12" x14ac:dyDescent="0.3">
      <c r="B91" s="27"/>
      <c r="C91" s="27"/>
      <c r="D91" s="27"/>
      <c r="E91" s="27"/>
      <c r="F91" s="27"/>
      <c r="G91" s="27"/>
      <c r="H91" s="27"/>
      <c r="I91" s="27"/>
      <c r="J91" s="27"/>
      <c r="K91" s="27"/>
      <c r="L91" s="27"/>
    </row>
    <row r="92" spans="2:12" x14ac:dyDescent="0.3">
      <c r="B92" s="27"/>
      <c r="C92" s="27"/>
      <c r="D92" s="27"/>
      <c r="E92" s="27"/>
      <c r="F92" s="27"/>
      <c r="G92" s="27"/>
      <c r="H92" s="27"/>
      <c r="I92" s="27"/>
      <c r="J92" s="27"/>
      <c r="K92" s="27"/>
      <c r="L92" s="27"/>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75595-E68A-42A1-AE6A-B5EC0CE30D87}">
  <dimension ref="A1:X5"/>
  <sheetViews>
    <sheetView showGridLines="0" topLeftCell="A6" zoomScale="85" zoomScaleNormal="85" workbookViewId="0">
      <selection activeCell="X31" sqref="X31"/>
    </sheetView>
  </sheetViews>
  <sheetFormatPr defaultRowHeight="14.4" x14ac:dyDescent="0.3"/>
  <cols>
    <col min="1" max="16384" width="8.88671875" style="6"/>
  </cols>
  <sheetData>
    <row r="1" spans="1:24" customFormat="1" x14ac:dyDescent="0.3">
      <c r="A1" s="29" t="s">
        <v>874</v>
      </c>
      <c r="B1" s="30"/>
      <c r="C1" s="30"/>
      <c r="D1" s="30"/>
      <c r="E1" s="30"/>
      <c r="F1" s="30"/>
      <c r="G1" s="30"/>
      <c r="H1" s="30"/>
      <c r="I1" s="30"/>
      <c r="J1" s="30"/>
      <c r="K1" s="30"/>
      <c r="L1" s="30"/>
      <c r="M1" s="30"/>
      <c r="N1" s="30"/>
      <c r="O1" s="30"/>
      <c r="P1" s="30"/>
      <c r="Q1" s="30"/>
      <c r="R1" s="30"/>
      <c r="S1" s="30"/>
      <c r="T1" s="30"/>
      <c r="U1" s="30"/>
      <c r="V1" s="30"/>
      <c r="W1" s="30"/>
      <c r="X1" s="30"/>
    </row>
    <row r="2" spans="1:24" customFormat="1" x14ac:dyDescent="0.3">
      <c r="A2" s="30"/>
      <c r="B2" s="30"/>
      <c r="C2" s="30"/>
      <c r="D2" s="30"/>
      <c r="E2" s="30"/>
      <c r="F2" s="30"/>
      <c r="G2" s="30"/>
      <c r="H2" s="30"/>
      <c r="I2" s="30"/>
      <c r="J2" s="30"/>
      <c r="K2" s="30"/>
      <c r="L2" s="30"/>
      <c r="M2" s="30"/>
      <c r="N2" s="30"/>
      <c r="O2" s="30"/>
      <c r="P2" s="30"/>
      <c r="Q2" s="30"/>
      <c r="R2" s="30"/>
      <c r="S2" s="30"/>
      <c r="T2" s="30"/>
      <c r="U2" s="30"/>
      <c r="V2" s="30"/>
      <c r="W2" s="30"/>
      <c r="X2" s="30"/>
    </row>
    <row r="3" spans="1:24" customFormat="1" ht="31.2" customHeight="1" x14ac:dyDescent="0.3">
      <c r="A3" s="30"/>
      <c r="B3" s="30"/>
      <c r="C3" s="30"/>
      <c r="D3" s="30"/>
      <c r="E3" s="30"/>
      <c r="F3" s="30"/>
      <c r="G3" s="30"/>
      <c r="H3" s="30"/>
      <c r="I3" s="30"/>
      <c r="J3" s="30"/>
      <c r="K3" s="30"/>
      <c r="L3" s="30"/>
      <c r="M3" s="30"/>
      <c r="N3" s="30"/>
      <c r="O3" s="30"/>
      <c r="P3" s="30"/>
      <c r="Q3" s="30"/>
      <c r="R3" s="30"/>
      <c r="S3" s="30"/>
      <c r="T3" s="30"/>
      <c r="U3" s="30"/>
      <c r="V3" s="30"/>
      <c r="W3" s="30"/>
      <c r="X3" s="30"/>
    </row>
    <row r="4" spans="1:24" customFormat="1" ht="14.4" hidden="1" customHeight="1" x14ac:dyDescent="0.3">
      <c r="A4" s="30"/>
      <c r="B4" s="30"/>
      <c r="C4" s="30"/>
      <c r="D4" s="30"/>
      <c r="E4" s="30"/>
      <c r="F4" s="30"/>
      <c r="G4" s="30"/>
      <c r="H4" s="30"/>
      <c r="I4" s="30"/>
      <c r="J4" s="30"/>
      <c r="K4" s="30"/>
      <c r="L4" s="30"/>
      <c r="M4" s="30"/>
      <c r="N4" s="30"/>
      <c r="O4" s="30"/>
      <c r="P4" s="30"/>
      <c r="Q4" s="30"/>
      <c r="R4" s="30"/>
      <c r="S4" s="30"/>
      <c r="T4" s="30"/>
      <c r="U4" s="30"/>
      <c r="V4" s="30"/>
      <c r="W4" s="30"/>
      <c r="X4" s="30"/>
    </row>
    <row r="5" spans="1:24" customFormat="1" ht="14.4" customHeight="1" x14ac:dyDescent="0.3">
      <c r="A5" s="7"/>
      <c r="B5" s="7"/>
      <c r="C5" s="7"/>
      <c r="D5" s="7"/>
      <c r="E5" s="7"/>
      <c r="F5" s="7"/>
      <c r="G5" s="7"/>
      <c r="H5" s="7"/>
      <c r="I5" s="7"/>
      <c r="J5" s="7"/>
      <c r="K5" s="7"/>
      <c r="L5" s="7"/>
      <c r="M5" s="7"/>
      <c r="N5" s="7"/>
      <c r="O5" s="7"/>
      <c r="P5" s="7"/>
      <c r="Q5" s="7"/>
      <c r="R5" s="7"/>
      <c r="S5" s="7"/>
      <c r="T5" s="7"/>
      <c r="U5" s="7"/>
      <c r="V5" s="7"/>
      <c r="W5" s="7"/>
      <c r="X5" s="7"/>
    </row>
  </sheetData>
  <mergeCells count="1">
    <mergeCell ref="A1:X4"/>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6F023-0122-469E-917B-7BFFD3114271}">
  <dimension ref="A1"/>
  <sheetViews>
    <sheetView showGridLines="0" tabSelected="1" zoomScale="60" zoomScaleNormal="60" workbookViewId="0">
      <selection activeCell="N30" sqref="N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3E996-E990-4FBA-8F74-8AC99CCB24A8}">
  <dimension ref="E2:E7"/>
  <sheetViews>
    <sheetView workbookViewId="0">
      <selection activeCell="E7" sqref="E7"/>
    </sheetView>
  </sheetViews>
  <sheetFormatPr defaultRowHeight="14.4" x14ac:dyDescent="0.3"/>
  <cols>
    <col min="5" max="5" width="87.88671875" bestFit="1" customWidth="1"/>
  </cols>
  <sheetData>
    <row r="2" spans="5:5" x14ac:dyDescent="0.3">
      <c r="E2" s="28" t="s">
        <v>905</v>
      </c>
    </row>
    <row r="3" spans="5:5" x14ac:dyDescent="0.3">
      <c r="E3" s="28"/>
    </row>
    <row r="4" spans="5:5" x14ac:dyDescent="0.3">
      <c r="E4" t="s">
        <v>901</v>
      </c>
    </row>
    <row r="5" spans="5:5" x14ac:dyDescent="0.3">
      <c r="E5" t="s">
        <v>902</v>
      </c>
    </row>
    <row r="6" spans="5:5" x14ac:dyDescent="0.3">
      <c r="E6" t="s">
        <v>903</v>
      </c>
    </row>
    <row r="7" spans="5:5" x14ac:dyDescent="0.3">
      <c r="E7" t="s">
        <v>904</v>
      </c>
    </row>
  </sheetData>
  <mergeCells count="1">
    <mergeCell ref="E2:E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4544149-C634-4A00-BAB8-2A92BFDFE5AD}">
  <ds:schemaRefs/>
</ds:datastoreItem>
</file>

<file path=customXml/itemProps2.xml><?xml version="1.0" encoding="utf-8"?>
<ds:datastoreItem xmlns:ds="http://schemas.openxmlformats.org/officeDocument/2006/customXml" ds:itemID="{27671B7D-85F0-404D-A3B8-2C15926C940F}">
  <ds:schemaRefs>
    <ds:schemaRef ds:uri="http://schemas.microsoft.com/DataMashup"/>
  </ds:schemaRefs>
</ds:datastoreItem>
</file>

<file path=customXml/itemProps3.xml><?xml version="1.0" encoding="utf-8"?>
<ds:datastoreItem xmlns:ds="http://schemas.openxmlformats.org/officeDocument/2006/customXml" ds:itemID="{4A24788F-0364-4507-AB00-FED057928FCD}">
  <ds:schemaRefs/>
</ds:datastoreItem>
</file>

<file path=customXml/itemProps4.xml><?xml version="1.0" encoding="utf-8"?>
<ds:datastoreItem xmlns:ds="http://schemas.openxmlformats.org/officeDocument/2006/customXml" ds:itemID="{F5BFFA7C-2D07-4D04-A247-63AE4BF20084}">
  <ds:schemaRefs/>
</ds:datastoreItem>
</file>

<file path=customXml/itemProps5.xml><?xml version="1.0" encoding="utf-8"?>
<ds:datastoreItem xmlns:ds="http://schemas.openxmlformats.org/officeDocument/2006/customXml" ds:itemID="{53CD5D62-3F3D-4A68-A8BE-8DD7EF4F09D0}">
  <ds:schemaRefs/>
</ds:datastoreItem>
</file>

<file path=customXml/itemProps6.xml><?xml version="1.0" encoding="utf-8"?>
<ds:datastoreItem xmlns:ds="http://schemas.openxmlformats.org/officeDocument/2006/customXml" ds:itemID="{730093EE-8C58-4D2A-99C3-063800785727}">
  <ds:schemaRefs/>
</ds:datastoreItem>
</file>

<file path=customXml/itemProps7.xml><?xml version="1.0" encoding="utf-8"?>
<ds:datastoreItem xmlns:ds="http://schemas.openxmlformats.org/officeDocument/2006/customXml" ds:itemID="{176747E8-CCC5-48A9-80B1-F92128C530C8}">
  <ds:schemaRefs/>
</ds:datastoreItem>
</file>

<file path=customXml/itemProps8.xml><?xml version="1.0" encoding="utf-8"?>
<ds:datastoreItem xmlns:ds="http://schemas.openxmlformats.org/officeDocument/2006/customXml" ds:itemID="{51B11476-C3EB-4E23-AFBA-8654436FB906}">
  <ds:schemaRefs/>
</ds:datastoreItem>
</file>

<file path=customXml/itemProps9.xml><?xml version="1.0" encoding="utf-8"?>
<ds:datastoreItem xmlns:ds="http://schemas.openxmlformats.org/officeDocument/2006/customXml" ds:itemID="{014EDDA8-9DF2-42DE-88EE-A4D622AABC25}">
  <ds:schemaRefs/>
</ds:datastoreItem>
</file>

<file path=customXml/itemProps10.xml><?xml version="1.0" encoding="utf-8"?>
<ds:datastoreItem xmlns:ds="http://schemas.openxmlformats.org/officeDocument/2006/customXml" ds:itemID="{60678BE1-5A77-4545-AB3A-9FC902ED6FF8}">
  <ds:schemaRefs/>
</ds:datastoreItem>
</file>

<file path=customXml/itemProps11.xml><?xml version="1.0" encoding="utf-8"?>
<ds:datastoreItem xmlns:ds="http://schemas.openxmlformats.org/officeDocument/2006/customXml" ds:itemID="{CB4E0CA8-814A-48AE-BD38-F77EC74470FA}">
  <ds:schemaRefs/>
</ds:datastoreItem>
</file>

<file path=customXml/itemProps12.xml><?xml version="1.0" encoding="utf-8"?>
<ds:datastoreItem xmlns:ds="http://schemas.openxmlformats.org/officeDocument/2006/customXml" ds:itemID="{913AFE7A-0CD5-4149-86F4-35C058201496}">
  <ds:schemaRefs/>
</ds:datastoreItem>
</file>

<file path=customXml/itemProps13.xml><?xml version="1.0" encoding="utf-8"?>
<ds:datastoreItem xmlns:ds="http://schemas.openxmlformats.org/officeDocument/2006/customXml" ds:itemID="{C9822EB1-422E-4B3C-91CA-A61F9D97DAB1}">
  <ds:schemaRefs/>
</ds:datastoreItem>
</file>

<file path=customXml/itemProps14.xml><?xml version="1.0" encoding="utf-8"?>
<ds:datastoreItem xmlns:ds="http://schemas.openxmlformats.org/officeDocument/2006/customXml" ds:itemID="{2EAE61E4-D22F-47AE-BFA1-DA051B4FB9F2}">
  <ds:schemaRefs/>
</ds:datastoreItem>
</file>

<file path=customXml/itemProps15.xml><?xml version="1.0" encoding="utf-8"?>
<ds:datastoreItem xmlns:ds="http://schemas.openxmlformats.org/officeDocument/2006/customXml" ds:itemID="{BABBE46D-84F5-4DE1-BAF5-B69DAAFAFEA1}">
  <ds:schemaRefs/>
</ds:datastoreItem>
</file>

<file path=customXml/itemProps16.xml><?xml version="1.0" encoding="utf-8"?>
<ds:datastoreItem xmlns:ds="http://schemas.openxmlformats.org/officeDocument/2006/customXml" ds:itemID="{F9781A26-F605-4755-9D75-F493FBBAD7AA}">
  <ds:schemaRefs/>
</ds:datastoreItem>
</file>

<file path=customXml/itemProps17.xml><?xml version="1.0" encoding="utf-8"?>
<ds:datastoreItem xmlns:ds="http://schemas.openxmlformats.org/officeDocument/2006/customXml" ds:itemID="{1A42D3EB-7F42-485B-9A3B-D20A40467F0F}">
  <ds:schemaRefs/>
</ds:datastoreItem>
</file>

<file path=customXml/itemProps18.xml><?xml version="1.0" encoding="utf-8"?>
<ds:datastoreItem xmlns:ds="http://schemas.openxmlformats.org/officeDocument/2006/customXml" ds:itemID="{E2A9E0E7-611B-48F7-938E-52966A689569}">
  <ds:schemaRefs/>
</ds:datastoreItem>
</file>

<file path=customXml/itemProps19.xml><?xml version="1.0" encoding="utf-8"?>
<ds:datastoreItem xmlns:ds="http://schemas.openxmlformats.org/officeDocument/2006/customXml" ds:itemID="{761F8B2A-1541-4182-A51C-4243EAE07EA7}">
  <ds:schemaRefs/>
</ds:datastoreItem>
</file>

<file path=customXml/itemProps20.xml><?xml version="1.0" encoding="utf-8"?>
<ds:datastoreItem xmlns:ds="http://schemas.openxmlformats.org/officeDocument/2006/customXml" ds:itemID="{B99C1C82-97DC-42BF-9908-83AD122582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APPOIN OG</vt:lpstr>
      <vt:lpstr>BILLING OG</vt:lpstr>
      <vt:lpstr>TRETMEN OG</vt:lpstr>
      <vt:lpstr>PATIENT OG</vt:lpstr>
      <vt:lpstr>DOCTOR OG</vt:lpstr>
      <vt:lpstr>Sheet1</vt:lpstr>
      <vt:lpstr>appointments</vt:lpstr>
      <vt:lpstr>Sheet7</vt:lpstr>
      <vt:lpstr>Billing</vt:lpstr>
      <vt:lpstr>Sheet3</vt:lpstr>
      <vt:lpstr>Patient</vt:lpstr>
      <vt:lpstr>Sheet5</vt:lpstr>
      <vt:lpstr>Treatment</vt:lpstr>
      <vt:lpstr>Sheet6</vt:lpstr>
      <vt:lpstr>Doctor</vt:lpstr>
      <vt:lpstr>ANALYISIS</vt:lpstr>
      <vt:lpstr>CHANGE LOG</vt:lpstr>
      <vt:lpstr>PIVIOT</vt:lpstr>
      <vt:lpstr>CHARTS</vt:lpstr>
      <vt:lpstr>DASHBOARD</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Anjana V</dc:creator>
  <cp:lastModifiedBy>_Muhd. afsal__</cp:lastModifiedBy>
  <dcterms:created xsi:type="dcterms:W3CDTF">2026-09-08T10:55:36Z</dcterms:created>
  <dcterms:modified xsi:type="dcterms:W3CDTF">2026-09-15T04:53:29Z</dcterms:modified>
</cp:coreProperties>
</file>